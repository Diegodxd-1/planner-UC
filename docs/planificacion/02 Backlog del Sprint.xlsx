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5"/>
    <sheet state="visible" name="Sprint 2" sheetId="2" r:id="rId6"/>
    <sheet state="visible" name="Plantilla Sprint" sheetId="3" r:id="rId7"/>
  </sheets>
  <definedNames>
    <definedName localSheetId="1" name="ImplementationDays">'Sprint 2'!$D$16</definedName>
    <definedName localSheetId="1" name="DoneDays">'Sprint 2'!$F$18</definedName>
    <definedName name="TrendDays">#REF!</definedName>
    <definedName localSheetId="1" name="SprintTasks">'Sprint 2'!$C$21:$AF$70</definedName>
    <definedName localSheetId="2" name="TaskRows">'Plantilla Sprint'!$D$18</definedName>
    <definedName name="TaskRows">#REF!</definedName>
    <definedName name="Sprint">#REF!</definedName>
    <definedName localSheetId="0" name="DoneDays">'Sprint 1'!$F$18</definedName>
    <definedName name="TaskStatus">#REF!</definedName>
    <definedName localSheetId="2" name="SprintTasks">'Plantilla Sprint'!$C$21:$AF$70</definedName>
    <definedName localSheetId="0" name="TotalEffort">'Sprint 1'!$G$17</definedName>
    <definedName localSheetId="0" name="TrendDays">'Sprint 1'!$F$20</definedName>
    <definedName localSheetId="1" name="TaskRows">'Sprint 2'!$D$18</definedName>
    <definedName localSheetId="1" name="TotalEffort">'Sprint 2'!$G$17</definedName>
    <definedName localSheetId="2" name="ImplementationDays">'Plantilla Sprint'!$D$16</definedName>
    <definedName name="Status">#REF!</definedName>
    <definedName localSheetId="1" name="TaskStatus">'Sprint 2'!$F$21:$F$65</definedName>
    <definedName name="TotalEffort">#REF!</definedName>
    <definedName localSheetId="0" name="ImplementationDays">'Sprint 1'!$D$16</definedName>
    <definedName name="ImplementationDays">#REF!</definedName>
    <definedName localSheetId="1" name="TaskStoryID">'Sprint 2'!$D$21:$D$60</definedName>
    <definedName name="TrendOffset">#REF!</definedName>
    <definedName localSheetId="0" name="TaskStatus">'Sprint 1'!$F$21:$F$65</definedName>
    <definedName localSheetId="1" name="TrendDays">'Sprint 2'!$F$20</definedName>
    <definedName name="SprintTasks">#REF!</definedName>
    <definedName localSheetId="0" name="TaskRows">'Sprint 1'!$D$18</definedName>
    <definedName localSheetId="2" name="TaskStoryID">'Plantilla Sprint'!$D$21:$D$60</definedName>
    <definedName name="StoryName">#REF!</definedName>
    <definedName localSheetId="0" name="SprintTasks">'Sprint 1'!$C$21:$AF$70</definedName>
    <definedName name="DoneDays">#REF!</definedName>
    <definedName localSheetId="2" name="TotalEffort">'Plantilla Sprint'!$G$17</definedName>
    <definedName localSheetId="0" name="TaskStoryID">'Sprint 1'!$D$21:$D$60</definedName>
    <definedName name="TaskStoryID">#REF!</definedName>
    <definedName name="SprintsInTrend">#REF!</definedName>
    <definedName localSheetId="2" name="DoneDays">'Plantilla Sprint'!$F$18</definedName>
    <definedName name="ProductBacklog">#REF!</definedName>
    <definedName localSheetId="2" name="TaskStatus">'Plantilla Sprint'!$F$21:$F$65</definedName>
    <definedName name="TrendSprintCount">#REF!</definedName>
    <definedName name="SprintCount">#REF!</definedName>
    <definedName localSheetId="2" name="TrendDays">'Plantilla Sprint'!$F$20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tc={77da5b36-5557-4a5f-9f37-c41ac8d37b1c}</author>
  </authors>
  <commentList>
    <comment authorId="0" xr:uid="{77da5b36-5557-4a5f-9f37-c41ac8d37b1c}" ref="C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Count only active working and implementation days. Do not include Planning Day or Sprint Review.
E.g. a 4-week Sprint would most likely have 18 implementation days.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tc={aa0079b9-e165-4696-a420-147dc9a4d0ac}</author>
  </authors>
  <commentList>
    <comment authorId="0" xr:uid="{aa0079b9-e165-4696-a420-147dc9a4d0ac}" ref="C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Count only active working and implementation days. Do not include Planning Day or Sprint Review.
E.g. a 4-week Sprint would most likely have 18 implementation days.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tc={bad70e33-39e3-4419-8fa0-ca0502ffa35e}</author>
  </authors>
  <commentList>
    <comment authorId="0" xr:uid="{bad70e33-39e3-4419-8fa0-ca0502ffa35e}" ref="C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Count only active working and implementation days. Do not include Planning Day or Sprint Review.
E.g. a 4-week Sprint would most likely have 18 implementation days.
</t>
      </text>
    </comment>
  </commentList>
</comments>
</file>

<file path=xl/sharedStrings.xml><?xml version="1.0" encoding="utf-8"?>
<sst xmlns="http://schemas.openxmlformats.org/spreadsheetml/2006/main" count="136" uniqueCount="62">
  <si>
    <t>Nombre del Proyecto:</t>
  </si>
  <si>
    <t>Dueño del Proyecto</t>
  </si>
  <si>
    <t>Gerente del Proyecto:</t>
  </si>
  <si>
    <t>Duración del Sprint</t>
  </si>
  <si>
    <t>Esfuerzo</t>
  </si>
  <si>
    <t>Faltante en los días siguientes…</t>
  </si>
  <si>
    <t>Tendencia calculada en los últimos</t>
  </si>
  <si>
    <t>Días</t>
  </si>
  <si>
    <t>Totales</t>
  </si>
  <si>
    <t>Task rows</t>
  </si>
  <si>
    <t>Done days</t>
  </si>
  <si>
    <t>Warning! These are necessary</t>
  </si>
  <si>
    <t>Trend</t>
  </si>
  <si>
    <t>template rows</t>
  </si>
  <si>
    <t>Trend Days</t>
  </si>
  <si>
    <t>ID Tarea</t>
  </si>
  <si>
    <t>Tarea</t>
  </si>
  <si>
    <t>ID Historia</t>
  </si>
  <si>
    <t>Responsable</t>
  </si>
  <si>
    <t>Estado</t>
  </si>
  <si>
    <t>Est.</t>
  </si>
  <si>
    <t>Registro usuarios</t>
  </si>
  <si>
    <t>HU01</t>
  </si>
  <si>
    <t>LUIS</t>
  </si>
  <si>
    <t>Terminado</t>
  </si>
  <si>
    <t>Login sistema</t>
  </si>
  <si>
    <t>HU02</t>
  </si>
  <si>
    <t>DANIEL</t>
  </si>
  <si>
    <t>En progreso</t>
  </si>
  <si>
    <t>Registrar cursos</t>
  </si>
  <si>
    <t>HU03</t>
  </si>
  <si>
    <t>FRANK</t>
  </si>
  <si>
    <t>Registrar docentes</t>
  </si>
  <si>
    <t>HU04</t>
  </si>
  <si>
    <t>DIEGO</t>
  </si>
  <si>
    <t>Registrar aulas</t>
  </si>
  <si>
    <t>HU05</t>
  </si>
  <si>
    <t>Definir bloques</t>
  </si>
  <si>
    <t>HU06</t>
  </si>
  <si>
    <t>Consultar horarios</t>
  </si>
  <si>
    <t>HU11</t>
  </si>
  <si>
    <t>Registrar estudiantes</t>
  </si>
  <si>
    <t>HU13</t>
  </si>
  <si>
    <t>Validar créditos</t>
  </si>
  <si>
    <t>HU16</t>
  </si>
  <si>
    <t>Ver horarios</t>
  </si>
  <si>
    <t>HU09</t>
  </si>
  <si>
    <t>Done</t>
  </si>
  <si>
    <t>In Progress</t>
  </si>
  <si>
    <t>To Do</t>
  </si>
  <si>
    <t>Generar horarios</t>
  </si>
  <si>
    <t>HU07</t>
  </si>
  <si>
    <t>Detectar conflictos</t>
  </si>
  <si>
    <t>HU08</t>
  </si>
  <si>
    <t>Editar horarios</t>
  </si>
  <si>
    <t>HU10</t>
  </si>
  <si>
    <t>Guardar ejecuciones</t>
  </si>
  <si>
    <t>HU12</t>
  </si>
  <si>
    <t>Matricular cursos</t>
  </si>
  <si>
    <t>HU14</t>
  </si>
  <si>
    <t>Validar prerrequisitos</t>
  </si>
  <si>
    <t>HU15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</si>
</sst>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Sprint &quot;#&quot; Backlog&quot;"/>
    <numFmt numFmtId="165" formatCode="d.m"/>
  </numFmts>
  <fonts count="7">
    <font>
      <sz val="10.0"/>
      <color rgb="FF000000"/>
      <name val="Arial"/>
      <scheme val="minor"/>
    </font>
    <font>
      <sz val="10.0"/>
      <color theme="1"/>
      <name val="Arial"/>
    </font>
    <font>
      <sz val="14.0"/>
      <color theme="1"/>
      <name val="Arial"/>
    </font>
    <font/>
    <font>
      <color theme="1"/>
      <name val="Arial"/>
      <scheme val="minor"/>
    </font>
    <font>
      <b/>
      <sz val="10.0"/>
      <color theme="1"/>
      <name val="Arial"/>
    </font>
    <font>
      <b/>
      <sz val="10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CC99"/>
        <bgColor rgb="FFFFCC99"/>
      </patternFill>
    </fill>
  </fills>
  <borders count="13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shrinkToFit="0" vertical="center" wrapText="1"/>
    </xf>
    <xf borderId="2" fillId="2" fontId="1" numFmtId="0" xfId="0" applyBorder="1" applyFont="1"/>
    <xf borderId="2" fillId="2" fontId="2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 vertical="center"/>
    </xf>
    <xf borderId="4" fillId="2" fontId="2" numFmtId="0" xfId="0" applyAlignment="1" applyBorder="1" applyFont="1">
      <alignment horizontal="center" shrinkToFit="0" vertical="center" wrapText="1"/>
    </xf>
    <xf borderId="5" fillId="2" fontId="1" numFmtId="0" xfId="0" applyBorder="1" applyFont="1"/>
    <xf borderId="6" fillId="2" fontId="2" numFmtId="0" xfId="0" applyAlignment="1" applyBorder="1" applyFont="1">
      <alignment horizontal="left" shrinkToFit="0" vertical="center" wrapText="1"/>
    </xf>
    <xf borderId="7" fillId="0" fontId="3" numFmtId="0" xfId="0" applyBorder="1" applyFont="1"/>
    <xf borderId="8" fillId="0" fontId="3" numFmtId="0" xfId="0" applyBorder="1" applyFont="1"/>
    <xf borderId="5" fillId="2" fontId="2" numFmtId="0" xfId="0" applyAlignment="1" applyBorder="1" applyFont="1">
      <alignment horizontal="center" shrinkToFit="0" vertical="center" wrapText="1"/>
    </xf>
    <xf borderId="5" fillId="2" fontId="2" numFmtId="0" xfId="0" applyAlignment="1" applyBorder="1" applyFont="1">
      <alignment horizontal="center" vertical="center"/>
    </xf>
    <xf borderId="9" fillId="2" fontId="2" numFmtId="0" xfId="0" applyAlignment="1" applyBorder="1" applyFont="1">
      <alignment horizontal="center" vertical="center"/>
    </xf>
    <xf borderId="10" fillId="2" fontId="2" numFmtId="0" xfId="0" applyAlignment="1" applyBorder="1" applyFont="1">
      <alignment horizontal="center" shrinkToFit="0" vertical="center" wrapText="1"/>
    </xf>
    <xf borderId="11" fillId="2" fontId="1" numFmtId="0" xfId="0" applyBorder="1" applyFont="1"/>
    <xf borderId="11" fillId="2" fontId="2" numFmtId="0" xfId="0" applyAlignment="1" applyBorder="1" applyFont="1">
      <alignment horizontal="left" shrinkToFit="0" vertical="center" wrapText="1"/>
    </xf>
    <xf borderId="11" fillId="2" fontId="2" numFmtId="0" xfId="0" applyAlignment="1" applyBorder="1" applyFont="1">
      <alignment horizontal="center" shrinkToFit="0" vertical="center" wrapText="1"/>
    </xf>
    <xf borderId="11" fillId="2" fontId="2" numFmtId="0" xfId="0" applyAlignment="1" applyBorder="1" applyFont="1">
      <alignment horizontal="center" vertical="center"/>
    </xf>
    <xf borderId="12" fillId="2" fontId="2" numFmtId="0" xfId="0" applyAlignment="1" applyBorder="1" applyFont="1">
      <alignment horizontal="center" vertical="center"/>
    </xf>
    <xf borderId="0" fillId="0" fontId="2" numFmtId="164" xfId="0" applyAlignment="1" applyFont="1" applyNumberFormat="1">
      <alignment horizontal="left"/>
    </xf>
    <xf borderId="0" fillId="0" fontId="2" numFmtId="164" xfId="0" applyAlignment="1" applyFont="1" applyNumberFormat="1">
      <alignment horizontal="center"/>
    </xf>
    <xf borderId="0" fillId="0" fontId="1" numFmtId="0" xfId="0" applyFont="1"/>
    <xf borderId="0" fillId="0" fontId="4" numFmtId="0" xfId="0" applyFont="1"/>
    <xf borderId="5" fillId="3" fontId="5" numFmtId="0" xfId="0" applyBorder="1" applyFill="1" applyFont="1"/>
    <xf borderId="5" fillId="3" fontId="1" numFmtId="0" xfId="0" applyBorder="1" applyFont="1"/>
    <xf borderId="0" fillId="0" fontId="5" numFmtId="0" xfId="0" applyAlignment="1" applyFont="1">
      <alignment horizontal="center"/>
    </xf>
    <xf borderId="0" fillId="0" fontId="6" numFmtId="0" xfId="0" applyFont="1"/>
    <xf borderId="5" fillId="3" fontId="5" numFmtId="0" xfId="0" applyAlignment="1" applyBorder="1" applyFont="1">
      <alignment horizontal="center"/>
    </xf>
    <xf borderId="0" fillId="0" fontId="4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2">
    <dxf>
      <font/>
      <fill>
        <patternFill patternType="solid">
          <fgColor rgb="FFCCFFCC"/>
          <bgColor rgb="FFCCFFCC"/>
        </patternFill>
      </fill>
      <border/>
    </dxf>
    <dxf>
      <font/>
      <fill>
        <patternFill patternType="solid">
          <fgColor rgb="FFFFFF99"/>
          <bgColor rgb="FFFFFF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7845828933474128"/>
          <c:y val="0.08823561091025287"/>
          <c:w val="0.8173178458289335"/>
          <c:h val="0.8308853360715478"/>
        </c:manualLayout>
      </c:layout>
      <c:barChart>
        <c:barDir val="col"/>
        <c:ser>
          <c:idx val="0"/>
          <c:order val="0"/>
          <c:tx>
            <c:v>Daily Progress</c:v>
          </c:tx>
          <c:spPr>
            <a:solidFill>
              <a:srgbClr val="9999FF"/>
            </a:solidFill>
            <a:ln cmpd="sng">
              <a:solidFill>
                <a:srgbClr val="000000"/>
              </a:solidFill>
            </a:ln>
          </c:spPr>
          <c:val>
            <c:numRef>
              <c:f>'Sprint 1'!$H$17:$AF$17</c:f>
              <c:numCache/>
            </c:numRef>
          </c:val>
        </c:ser>
        <c:axId val="782091020"/>
        <c:axId val="1770130716"/>
      </c:barChart>
      <c:lineChart>
        <c:ser>
          <c:idx val="1"/>
          <c:order val="1"/>
          <c:tx>
            <c:v>Ideal Progress</c:v>
          </c:tx>
          <c:spPr>
            <a:ln cmpd="sng" w="9525">
              <a:solidFill>
                <a:srgbClr val="969696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'Sprint 1'!$H$18:$AF$18</c:f>
              <c:numCache/>
            </c:numRef>
          </c:val>
          <c:smooth val="0"/>
        </c:ser>
        <c:ser>
          <c:idx val="2"/>
          <c:order val="2"/>
          <c:tx>
            <c:v>Current Trend</c:v>
          </c:tx>
          <c:spPr>
            <a:ln cmpd="sng">
              <a:solidFill>
                <a:srgbClr val="0000FF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'Sprint 1'!$H$19:$AF$19</c:f>
              <c:numCache/>
            </c:numRef>
          </c:val>
          <c:smooth val="0"/>
        </c:ser>
        <c:axId val="782091020"/>
        <c:axId val="1770130716"/>
      </c:lineChart>
      <c:catAx>
        <c:axId val="7820910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0130716"/>
      </c:catAx>
      <c:valAx>
        <c:axId val="1770130716"/>
        <c:scaling>
          <c:orientation val="minMax"/>
          <c:min val="0.0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000000"/>
                    </a:solidFill>
                    <a:latin typeface="Arial"/>
                  </a:rPr>
                  <a:t>Work Remaining (h)</a:t>
                </a:r>
              </a:p>
            </c:rich>
          </c:tx>
          <c:layout>
            <c:manualLayout>
              <c:xMode val="edge"/>
              <c:yMode val="edge"/>
              <c:x val="0.13938754040042517"/>
              <c:y val="0.139706654315269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500">
                <a:solidFill>
                  <a:srgbClr val="000000"/>
                </a:solidFill>
                <a:latin typeface="Arial"/>
              </a:defRPr>
            </a:pPr>
          </a:p>
        </c:txPr>
        <c:crossAx val="782091020"/>
      </c:valAx>
      <c:spPr>
        <a:solidFill>
          <a:srgbClr val="C0C0C0"/>
        </a:solidFill>
      </c:spPr>
    </c:plotArea>
    <c:legend>
      <c:legendPos val="l"/>
      <c:layout>
        <c:manualLayout>
          <c:xMode val="edge"/>
          <c:yMode val="edge"/>
          <c:x val="0.008447756013969328"/>
          <c:y val="0.0661764705882353"/>
        </c:manualLayout>
      </c:layout>
      <c:overlay val="0"/>
      <c:txPr>
        <a:bodyPr/>
        <a:lstStyle/>
        <a:p>
          <a:pPr lvl="0">
            <a:defRPr b="0" i="0" sz="700">
              <a:solidFill>
                <a:srgbClr val="000000"/>
              </a:solidFill>
              <a:latin typeface="Arial"/>
            </a:defRPr>
          </a:pPr>
        </a:p>
      </c:txPr>
    </c:legend>
    <c:plotVisOnly val="0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7845828933474128"/>
          <c:y val="0.08823561091025287"/>
          <c:w val="0.8173178458289335"/>
          <c:h val="0.8308853360715478"/>
        </c:manualLayout>
      </c:layout>
      <c:barChart>
        <c:barDir val="col"/>
        <c:ser>
          <c:idx val="0"/>
          <c:order val="0"/>
          <c:tx>
            <c:v>Daily Progress</c:v>
          </c:tx>
          <c:spPr>
            <a:solidFill>
              <a:srgbClr val="9999FF"/>
            </a:solidFill>
            <a:ln cmpd="sng">
              <a:solidFill>
                <a:srgbClr val="000000"/>
              </a:solidFill>
            </a:ln>
          </c:spPr>
          <c:val>
            <c:numRef>
              <c:f>'Sprint 2'!$H$17:$AF$17</c:f>
              <c:numCache/>
            </c:numRef>
          </c:val>
        </c:ser>
        <c:axId val="1337734290"/>
        <c:axId val="834019985"/>
      </c:barChart>
      <c:lineChart>
        <c:ser>
          <c:idx val="1"/>
          <c:order val="1"/>
          <c:tx>
            <c:v>Ideal Progress</c:v>
          </c:tx>
          <c:spPr>
            <a:ln cmpd="sng" w="9525">
              <a:solidFill>
                <a:srgbClr val="969696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'Sprint 2'!$H$18:$AF$18</c:f>
              <c:numCache/>
            </c:numRef>
          </c:val>
          <c:smooth val="0"/>
        </c:ser>
        <c:ser>
          <c:idx val="2"/>
          <c:order val="2"/>
          <c:tx>
            <c:v>Current Trend</c:v>
          </c:tx>
          <c:spPr>
            <a:ln cmpd="sng">
              <a:solidFill>
                <a:srgbClr val="0000FF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'Sprint 2'!$H$19:$AF$19</c:f>
              <c:numCache/>
            </c:numRef>
          </c:val>
          <c:smooth val="0"/>
        </c:ser>
        <c:axId val="1337734290"/>
        <c:axId val="834019985"/>
      </c:lineChart>
      <c:catAx>
        <c:axId val="13377342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4019985"/>
      </c:catAx>
      <c:valAx>
        <c:axId val="834019985"/>
        <c:scaling>
          <c:orientation val="minMax"/>
          <c:min val="0.0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000000"/>
                    </a:solidFill>
                    <a:latin typeface="Arial"/>
                  </a:rPr>
                  <a:t>Work Remaining (h)</a:t>
                </a:r>
              </a:p>
            </c:rich>
          </c:tx>
          <c:layout>
            <c:manualLayout>
              <c:xMode val="edge"/>
              <c:yMode val="edge"/>
              <c:x val="0.13938754040042517"/>
              <c:y val="0.139706654315269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500">
                <a:solidFill>
                  <a:srgbClr val="000000"/>
                </a:solidFill>
                <a:latin typeface="Arial"/>
              </a:defRPr>
            </a:pPr>
          </a:p>
        </c:txPr>
        <c:crossAx val="1337734290"/>
      </c:valAx>
      <c:spPr>
        <a:solidFill>
          <a:srgbClr val="C0C0C0"/>
        </a:solidFill>
      </c:spPr>
    </c:plotArea>
    <c:legend>
      <c:legendPos val="l"/>
      <c:layout>
        <c:manualLayout>
          <c:xMode val="edge"/>
          <c:yMode val="edge"/>
          <c:x val="0.008447756013969328"/>
          <c:y val="0.0661764705882353"/>
        </c:manualLayout>
      </c:layout>
      <c:overlay val="0"/>
      <c:txPr>
        <a:bodyPr/>
        <a:lstStyle/>
        <a:p>
          <a:pPr lvl="0">
            <a:defRPr b="0" i="0" sz="700">
              <a:solidFill>
                <a:srgbClr val="000000"/>
              </a:solidFill>
              <a:latin typeface="Arial"/>
            </a:defRPr>
          </a:pPr>
        </a:p>
      </c:txPr>
    </c:legend>
    <c:plotVisOnly val="0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7845828933474128"/>
          <c:y val="0.08823561091025287"/>
          <c:w val="0.8173178458289335"/>
          <c:h val="0.8308853360715478"/>
        </c:manualLayout>
      </c:layout>
      <c:barChart>
        <c:barDir val="col"/>
        <c:ser>
          <c:idx val="0"/>
          <c:order val="0"/>
          <c:tx>
            <c:v>Daily Progress</c:v>
          </c:tx>
          <c:spPr>
            <a:solidFill>
              <a:srgbClr val="9999FF"/>
            </a:solidFill>
            <a:ln cmpd="sng">
              <a:solidFill>
                <a:srgbClr val="000000"/>
              </a:solidFill>
            </a:ln>
          </c:spPr>
          <c:val>
            <c:numRef>
              <c:f>'Plantilla Sprint'!$H$17:$AF$17</c:f>
              <c:numCache/>
            </c:numRef>
          </c:val>
        </c:ser>
        <c:axId val="1812238020"/>
        <c:axId val="1243681508"/>
      </c:barChart>
      <c:lineChart>
        <c:varyColors val="0"/>
        <c:ser>
          <c:idx val="1"/>
          <c:order val="1"/>
          <c:tx>
            <c:v>Ideal Progress</c:v>
          </c:tx>
          <c:spPr>
            <a:ln cmpd="sng" w="9525">
              <a:solidFill>
                <a:srgbClr val="969696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'Plantilla Sprint'!$H$18:$AF$18</c:f>
              <c:numCache/>
            </c:numRef>
          </c:val>
          <c:smooth val="0"/>
        </c:ser>
        <c:axId val="1812238020"/>
        <c:axId val="1243681508"/>
      </c:lineChart>
      <c:catAx>
        <c:axId val="18122380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3681508"/>
      </c:catAx>
      <c:valAx>
        <c:axId val="1243681508"/>
        <c:scaling>
          <c:orientation val="minMax"/>
          <c:min val="0.0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000000"/>
                    </a:solidFill>
                    <a:latin typeface="Arial"/>
                  </a:rPr>
                  <a:t>Work Remaining (h)</a:t>
                </a:r>
              </a:p>
            </c:rich>
          </c:tx>
          <c:layout>
            <c:manualLayout>
              <c:xMode val="edge"/>
              <c:yMode val="edge"/>
              <c:x val="0.13938754040042517"/>
              <c:y val="0.139706654315269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500">
                <a:solidFill>
                  <a:srgbClr val="000000"/>
                </a:solidFill>
                <a:latin typeface="Arial"/>
              </a:defRPr>
            </a:pPr>
          </a:p>
        </c:txPr>
        <c:crossAx val="1812238020"/>
      </c:valAx>
      <c:spPr>
        <a:solidFill>
          <a:srgbClr val="C0C0C0"/>
        </a:solidFill>
      </c:spPr>
    </c:plotArea>
    <c:legend>
      <c:legendPos val="l"/>
      <c:layout>
        <c:manualLayout>
          <c:xMode val="edge"/>
          <c:yMode val="edge"/>
          <c:x val="0.008447756013969328"/>
          <c:y val="0.0661764705882353"/>
        </c:manualLayout>
      </c:layout>
      <c:overlay val="0"/>
      <c:txPr>
        <a:bodyPr/>
        <a:lstStyle/>
        <a:p>
          <a:pPr lvl="0">
            <a:defRPr b="0" i="0" sz="700">
              <a:solidFill>
                <a:srgbClr val="000000"/>
              </a:solidFill>
              <a:latin typeface="Arial"/>
            </a:defRPr>
          </a:pPr>
        </a:p>
      </c:txPr>
    </c:legend>
    <c:plotVisOnly val="0"/>
  </c:chart>
  <c:spPr>
    <a:solidFill>
      <a:srgbClr val="FFFFFF"/>
    </a:solidFill>
  </c:spPr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485775</xdr:colOff>
      <xdr:row>7</xdr:row>
      <xdr:rowOff>38100</xdr:rowOff>
    </xdr:from>
    <xdr:ext cx="10506075" cy="12287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485775</xdr:colOff>
      <xdr:row>7</xdr:row>
      <xdr:rowOff>38100</xdr:rowOff>
    </xdr:from>
    <xdr:ext cx="10506075" cy="12287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485775</xdr:colOff>
      <xdr:row>7</xdr:row>
      <xdr:rowOff>38100</xdr:rowOff>
    </xdr:from>
    <xdr:ext cx="10506075" cy="12287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Petri Heiramo" id="{af7783b2-1142-494f-a841-a3052007dac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6" dT="2026-04-14T01:15:06.00" personId="{af7783b2-1142-494f-a841-a3052007dac0}" id="{77da5b36-5557-4a5f-9f37-c41ac8d37b1c}" done="0">
    <x18tc:text xml:space="preserve">Count only active working and implementation days. Do not include Planning Day or Sprint Review.
E.g. a 4-week Sprint would most likely have 18 implementation days.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6" dT="2026-04-14T01:15:06.00" personId="{af7783b2-1142-494f-a841-a3052007dac0}" id="{aa0079b9-e165-4696-a420-147dc9a4d0ac}" done="0">
    <x18tc:text xml:space="preserve">Count only active working and implementation days. Do not include Planning Day or Sprint Review.
E.g. a 4-week Sprint would most likely have 18 implementation days.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6" dT="2026-04-14T01:15:06.00" personId="{af7783b2-1142-494f-a841-a3052007dac0}" id="{bad70e33-39e3-4419-8fa0-ca0502ffa35e}" done="0">
    <x18tc:text xml:space="preserve">Count only active working and implementation days. Do not include Planning Day or Sprint Review.
E.g. a 4-week Sprint would most likely have 18 implementation days.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9.13"/>
    <col customWidth="1" min="3" max="3" width="38.38"/>
    <col customWidth="1" min="4" max="4" width="10.75"/>
    <col customWidth="1" min="5" max="5" width="13.75"/>
    <col customWidth="1" min="6" max="6" width="10.88"/>
    <col customWidth="1" min="7" max="7" width="9.63"/>
    <col customWidth="1" min="8" max="32" width="4.38"/>
    <col customWidth="1" min="33" max="33" width="9.13"/>
  </cols>
  <sheetData>
    <row r="1" ht="12.75" customHeight="1">
      <c r="D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0.5" customHeight="1">
      <c r="B2" s="2"/>
      <c r="C2" s="3"/>
      <c r="D2" s="4"/>
      <c r="E2" s="5"/>
      <c r="F2" s="5"/>
      <c r="G2" s="5"/>
      <c r="H2" s="5"/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4"/>
      <c r="W2" s="5"/>
      <c r="X2" s="5"/>
      <c r="Y2" s="5"/>
      <c r="Z2" s="5"/>
      <c r="AA2" s="5"/>
      <c r="AB2" s="5"/>
      <c r="AC2" s="5"/>
      <c r="AD2" s="5"/>
      <c r="AE2" s="5"/>
      <c r="AF2" s="6"/>
    </row>
    <row r="3" ht="15.0" customHeight="1">
      <c r="B3" s="7"/>
      <c r="C3" s="8" t="s">
        <v>0</v>
      </c>
      <c r="D3" s="9"/>
      <c r="E3" s="10"/>
      <c r="F3" s="10"/>
      <c r="G3" s="10"/>
      <c r="H3" s="11"/>
      <c r="I3" s="12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2"/>
      <c r="W3" s="13"/>
      <c r="X3" s="13"/>
      <c r="Y3" s="13"/>
      <c r="Z3" s="13"/>
      <c r="AA3" s="13"/>
      <c r="AB3" s="13"/>
      <c r="AC3" s="13"/>
      <c r="AD3" s="13"/>
      <c r="AE3" s="13"/>
      <c r="AF3" s="14"/>
    </row>
    <row r="4" ht="15.0" customHeight="1">
      <c r="B4" s="7"/>
      <c r="C4" s="8" t="s">
        <v>1</v>
      </c>
      <c r="D4" s="9"/>
      <c r="E4" s="10"/>
      <c r="F4" s="10"/>
      <c r="G4" s="10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2"/>
      <c r="W4" s="13"/>
      <c r="X4" s="13"/>
      <c r="Y4" s="13"/>
      <c r="Z4" s="13"/>
      <c r="AA4" s="13"/>
      <c r="AB4" s="13"/>
      <c r="AC4" s="13"/>
      <c r="AD4" s="13"/>
      <c r="AE4" s="13"/>
      <c r="AF4" s="14"/>
    </row>
    <row r="5" ht="15.0" customHeight="1">
      <c r="B5" s="7"/>
      <c r="C5" s="8" t="s">
        <v>2</v>
      </c>
      <c r="D5" s="9"/>
      <c r="E5" s="10"/>
      <c r="F5" s="10"/>
      <c r="G5" s="10"/>
      <c r="H5" s="11"/>
      <c r="I5" s="12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2"/>
      <c r="W5" s="13"/>
      <c r="X5" s="13"/>
      <c r="Y5" s="13"/>
      <c r="Z5" s="13"/>
      <c r="AA5" s="13"/>
      <c r="AB5" s="13"/>
      <c r="AC5" s="13"/>
      <c r="AD5" s="13"/>
      <c r="AE5" s="13"/>
      <c r="AF5" s="14"/>
    </row>
    <row r="6" ht="15.0" customHeight="1">
      <c r="B6" s="15"/>
      <c r="C6" s="16"/>
      <c r="D6" s="17"/>
      <c r="E6" s="17"/>
      <c r="F6" s="17"/>
      <c r="G6" s="17"/>
      <c r="H6" s="17"/>
      <c r="I6" s="18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8"/>
      <c r="W6" s="19"/>
      <c r="X6" s="19"/>
      <c r="Y6" s="19"/>
      <c r="Z6" s="19"/>
      <c r="AA6" s="19"/>
      <c r="AB6" s="19"/>
      <c r="AC6" s="19"/>
      <c r="AD6" s="19"/>
      <c r="AE6" s="19"/>
      <c r="AF6" s="20"/>
    </row>
    <row r="7" ht="12.75" customHeight="1">
      <c r="D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12.75" customHeight="1">
      <c r="C8" s="21">
        <v>1.0</v>
      </c>
      <c r="D8" s="22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ht="12.75" customHeight="1">
      <c r="D9" s="1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ht="12.75" customHeight="1">
      <c r="D10" s="1"/>
      <c r="F10" s="24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ht="12.75" customHeight="1">
      <c r="D11" s="1"/>
      <c r="F11" s="24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ht="12.75" customHeight="1">
      <c r="D12" s="1"/>
      <c r="F12" s="24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ht="12.75" customHeight="1">
      <c r="D13" s="1"/>
      <c r="F13" s="24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ht="12.75" customHeight="1">
      <c r="D14" s="1"/>
      <c r="F14" s="24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12.75" customHeight="1">
      <c r="D15" s="1"/>
      <c r="F15" s="24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ht="12.75" customHeight="1">
      <c r="B16" s="25"/>
      <c r="C16" s="25" t="s">
        <v>3</v>
      </c>
      <c r="D16" s="1">
        <v>10.0</v>
      </c>
      <c r="E16" s="25"/>
      <c r="F16" s="26"/>
      <c r="G16" s="25" t="s">
        <v>4</v>
      </c>
      <c r="H16" s="25" t="s">
        <v>5</v>
      </c>
      <c r="I16" s="25"/>
      <c r="J16" s="25"/>
      <c r="K16" s="25"/>
      <c r="L16" s="25"/>
      <c r="M16" s="25"/>
      <c r="N16" s="25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</row>
    <row r="17" ht="12.75" customHeight="1">
      <c r="B17" s="25"/>
      <c r="C17" s="25" t="s">
        <v>6</v>
      </c>
      <c r="D17" s="1">
        <v>10.0</v>
      </c>
      <c r="E17" s="25" t="s">
        <v>7</v>
      </c>
      <c r="F17" s="25" t="s">
        <v>8</v>
      </c>
      <c r="G17" s="27">
        <f>SUM(OFFSET(G21,1,0,'Sprint 1'!TaskRows,1))</f>
        <v>28</v>
      </c>
      <c r="H17" s="27">
        <f>IF(AND(SUM(OFFSET(H21,1,0,'Sprint 1'!TaskRows,1))=0),0,SUM(OFFSET(H21,1,0,'Sprint 1'!TaskRows,1)))</f>
        <v>28</v>
      </c>
      <c r="I17" s="27">
        <f>IF(AND(SUM(OFFSET(I21,1,0,'Sprint 1'!TaskRows,1))=0),"",SUM(OFFSET(I21,1,0,'Sprint 1'!TaskRows,1)))</f>
        <v>27</v>
      </c>
      <c r="J17" s="27">
        <f>IF(AND(SUM(OFFSET(J21,1,0,'Sprint 1'!TaskRows,1))=0),"",SUM(OFFSET(J21,1,0,'Sprint 1'!TaskRows,1)))</f>
        <v>25</v>
      </c>
      <c r="K17" s="27">
        <f>IF(AND(SUM(OFFSET(K21,1,0,'Sprint 1'!TaskRows,1))=0),"",SUM(OFFSET(K21,1,0,'Sprint 1'!TaskRows,1)))</f>
        <v>19</v>
      </c>
      <c r="L17" s="27">
        <f>IF(AND(SUM(OFFSET(L21,1,0,'Sprint 1'!TaskRows,1))=0),"",SUM(OFFSET(L21,1,0,'Sprint 1'!TaskRows,1)))</f>
        <v>16</v>
      </c>
      <c r="M17" s="27">
        <f>IF(AND(SUM(OFFSET(M21,1,0,'Sprint 1'!TaskRows,1))=0),"",SUM(OFFSET(M21,1,0,'Sprint 1'!TaskRows,1)))</f>
        <v>9</v>
      </c>
      <c r="N17" s="27">
        <f>IF(AND(SUM(OFFSET(N21,1,0,'Sprint 1'!TaskRows,1))=0),"",SUM(OFFSET(N21,1,0,'Sprint 1'!TaskRows,1)))</f>
        <v>6</v>
      </c>
      <c r="O17" s="27" t="str">
        <f>IF(AND(SUM(OFFSET(O21,1,0,'Sprint 1'!TaskRows,1))=0),"",SUM(OFFSET(O21,1,0,'Sprint 1'!TaskRows,1)))</f>
        <v/>
      </c>
      <c r="P17" s="27" t="str">
        <f>IF(AND(SUM(OFFSET(P21,1,0,'Sprint 1'!TaskRows,1))=0),"",SUM(OFFSET(P21,1,0,'Sprint 1'!TaskRows,1)))</f>
        <v/>
      </c>
      <c r="Q17" s="27" t="str">
        <f>IF(AND(SUM(OFFSET(Q21,1,0,'Sprint 1'!TaskRows,1))=0),"",SUM(OFFSET(Q21,1,0,'Sprint 1'!TaskRows,1)))</f>
        <v/>
      </c>
      <c r="R17" s="27" t="str">
        <f>IF(AND(SUM(OFFSET(R21,1,0,'Sprint 1'!TaskRows,1))=0),"",SUM(OFFSET(R21,1,0,'Sprint 1'!TaskRows,1)))</f>
        <v/>
      </c>
      <c r="S17" s="27" t="str">
        <f>IF(AND(SUM(OFFSET(S21,1,0,'Sprint 1'!TaskRows,1))=0),"",SUM(OFFSET(S21,1,0,'Sprint 1'!TaskRows,1)))</f>
        <v/>
      </c>
      <c r="T17" s="27" t="str">
        <f>IF(AND(SUM(OFFSET(T21,1,0,'Sprint 1'!TaskRows,1))=0),"",SUM(OFFSET(T21,1,0,'Sprint 1'!TaskRows,1)))</f>
        <v/>
      </c>
      <c r="U17" s="27" t="str">
        <f>IF(AND(SUM(OFFSET(U21,1,0,'Sprint 1'!TaskRows,1))=0),"",SUM(OFFSET(U21,1,0,'Sprint 1'!TaskRows,1)))</f>
        <v/>
      </c>
      <c r="V17" s="27" t="str">
        <f>IF(AND(SUM(OFFSET(V21,1,0,'Sprint 1'!TaskRows,1))=0),"",SUM(OFFSET(V21,1,0,'Sprint 1'!TaskRows,1)))</f>
        <v/>
      </c>
      <c r="W17" s="27" t="str">
        <f>IF(AND(SUM(OFFSET(W21,1,0,'Sprint 1'!TaskRows,1))=0),"",SUM(OFFSET(W21,1,0,'Sprint 1'!TaskRows,1)))</f>
        <v/>
      </c>
      <c r="X17" s="27" t="str">
        <f>IF(AND(SUM(OFFSET(X21,1,0,'Sprint 1'!TaskRows,1))=0),"",SUM(OFFSET(X21,1,0,'Sprint 1'!TaskRows,1)))</f>
        <v/>
      </c>
      <c r="Y17" s="27" t="str">
        <f>IF(AND(SUM(OFFSET(Y21,1,0,'Sprint 1'!TaskRows,1))=0),"",SUM(OFFSET(Y21,1,0,'Sprint 1'!TaskRows,1)))</f>
        <v/>
      </c>
      <c r="Z17" s="27" t="str">
        <f>IF(AND(SUM(OFFSET(Z21,1,0,'Sprint 1'!TaskRows,1))=0),"",SUM(OFFSET(Z21,1,0,'Sprint 1'!TaskRows,1)))</f>
        <v/>
      </c>
      <c r="AA17" s="27" t="str">
        <f>IF(AND(SUM(OFFSET(AA21,1,0,'Sprint 1'!TaskRows,1))=0),"",SUM(OFFSET(AA21,1,0,'Sprint 1'!TaskRows,1)))</f>
        <v/>
      </c>
      <c r="AB17" s="27" t="str">
        <f>IF(AND(SUM(OFFSET(AB21,1,0,'Sprint 1'!TaskRows,1))=0),"",SUM(OFFSET(AB21,1,0,'Sprint 1'!TaskRows,1)))</f>
        <v/>
      </c>
      <c r="AC17" s="27" t="str">
        <f>IF(AND(SUM(OFFSET(AC21,1,0,'Sprint 1'!TaskRows,1))=0),"",SUM(OFFSET(AC21,1,0,'Sprint 1'!TaskRows,1)))</f>
        <v/>
      </c>
      <c r="AD17" s="27" t="str">
        <f>IF(AND(SUM(OFFSET(AD21,1,0,'Sprint 1'!TaskRows,1))=0),"",SUM(OFFSET(AD21,1,0,'Sprint 1'!TaskRows,1)))</f>
        <v/>
      </c>
      <c r="AE17" s="27" t="str">
        <f>IF(AND(SUM(OFFSET(AE21,1,0,'Sprint 1'!TaskRows,1))=0),"",SUM(OFFSET(AE21,1,0,'Sprint 1'!TaskRows,1)))</f>
        <v/>
      </c>
      <c r="AF17" s="27" t="str">
        <f>IF(AND(SUM(OFFSET(AF21,1,0,'Sprint 1'!TaskRows,1))=0),"",SUM(OFFSET(AF21,1,0,'Sprint 1'!TaskRows,1)))</f>
        <v/>
      </c>
    </row>
    <row r="18" ht="12.75" hidden="1" customHeight="1">
      <c r="C18" s="24" t="s">
        <v>9</v>
      </c>
      <c r="D18" s="1">
        <f>IF(COUNTA(C22:C249)=0,1,COUNTA(C22:C249))</f>
        <v>10</v>
      </c>
      <c r="E18" s="24" t="s">
        <v>10</v>
      </c>
      <c r="F18" s="1">
        <f>IF(COUNTIF(H17:AF17,"&gt;0")=0,1,COUNTIF(H17:AF17,"&gt;0"))</f>
        <v>7</v>
      </c>
      <c r="G18" s="1"/>
      <c r="H18" s="1">
        <f>IF(H21="","",$G17-$G17/($D16-1)*(H21-1))</f>
        <v>28</v>
      </c>
      <c r="I18" s="1">
        <f>IF(I21="","",'Sprint 1'!TotalEffort-'Sprint 1'!TotalEffort/('Sprint 1'!ImplementationDays)*(I21-1))</f>
        <v>25.2</v>
      </c>
      <c r="J18" s="1">
        <f>IF(J21="","",'Sprint 1'!TotalEffort-'Sprint 1'!TotalEffort/('Sprint 1'!ImplementationDays)*(J21-1))</f>
        <v>22.4</v>
      </c>
      <c r="K18" s="1">
        <f>IF(K21="","",'Sprint 1'!TotalEffort-'Sprint 1'!TotalEffort/('Sprint 1'!ImplementationDays)*(K21-1))</f>
        <v>19.6</v>
      </c>
      <c r="L18" s="1">
        <f>IF(L21="","",'Sprint 1'!TotalEffort-'Sprint 1'!TotalEffort/('Sprint 1'!ImplementationDays)*(L21-1))</f>
        <v>16.8</v>
      </c>
      <c r="M18" s="1">
        <f>IF(M21="","",'Sprint 1'!TotalEffort-'Sprint 1'!TotalEffort/('Sprint 1'!ImplementationDays)*(M21-1))</f>
        <v>14</v>
      </c>
      <c r="N18" s="1">
        <f>IF(N21="","",'Sprint 1'!TotalEffort-'Sprint 1'!TotalEffort/('Sprint 1'!ImplementationDays)*(N21-1))</f>
        <v>11.2</v>
      </c>
      <c r="O18" s="1">
        <f>IF(O21="","",'Sprint 1'!TotalEffort-'Sprint 1'!TotalEffort/('Sprint 1'!ImplementationDays)*(O21-1))</f>
        <v>8.4</v>
      </c>
      <c r="P18" s="1">
        <f>IF(P21="","",'Sprint 1'!TotalEffort-'Sprint 1'!TotalEffort/('Sprint 1'!ImplementationDays)*(P21-1))</f>
        <v>5.6</v>
      </c>
      <c r="Q18" s="1">
        <f>IF(Q21="","",'Sprint 1'!TotalEffort-'Sprint 1'!TotalEffort/('Sprint 1'!ImplementationDays)*(Q21-1))</f>
        <v>2.8</v>
      </c>
      <c r="R18" s="1" t="str">
        <f>IF(R21="","",'Sprint 1'!TotalEffort-'Sprint 1'!TotalEffort/('Sprint 1'!ImplementationDays)*(R21-1))</f>
        <v/>
      </c>
      <c r="S18" s="1" t="str">
        <f>IF(S21="","",'Sprint 1'!TotalEffort-'Sprint 1'!TotalEffort/('Sprint 1'!ImplementationDays)*(S21-1))</f>
        <v/>
      </c>
      <c r="T18" s="1" t="str">
        <f>IF(T21="","",'Sprint 1'!TotalEffort-'Sprint 1'!TotalEffort/('Sprint 1'!ImplementationDays)*(T21-1))</f>
        <v/>
      </c>
      <c r="U18" s="1" t="str">
        <f>IF(U21="","",'Sprint 1'!TotalEffort-'Sprint 1'!TotalEffort/('Sprint 1'!ImplementationDays)*(U21-1))</f>
        <v/>
      </c>
      <c r="V18" s="1" t="str">
        <f>IF(V21="","",'Sprint 1'!TotalEffort-'Sprint 1'!TotalEffort/('Sprint 1'!ImplementationDays)*(V21-1))</f>
        <v/>
      </c>
      <c r="W18" s="1" t="str">
        <f>IF(W21="","",'Sprint 1'!TotalEffort-'Sprint 1'!TotalEffort/('Sprint 1'!ImplementationDays)*(W21-1))</f>
        <v/>
      </c>
      <c r="X18" s="1" t="str">
        <f>IF(X21="","",'Sprint 1'!TotalEffort-'Sprint 1'!TotalEffort/('Sprint 1'!ImplementationDays)*(X21-1))</f>
        <v/>
      </c>
      <c r="Y18" s="1" t="str">
        <f>IF(Y21="","",'Sprint 1'!TotalEffort-'Sprint 1'!TotalEffort/('Sprint 1'!ImplementationDays)*(Y21-1))</f>
        <v/>
      </c>
      <c r="Z18" s="1" t="str">
        <f>IF(Z21="","",'Sprint 1'!TotalEffort-'Sprint 1'!TotalEffort/('Sprint 1'!ImplementationDays)*(Z21-1))</f>
        <v/>
      </c>
      <c r="AA18" s="1" t="str">
        <f>IF(AA21="","",'Sprint 1'!TotalEffort-'Sprint 1'!TotalEffort/('Sprint 1'!ImplementationDays)*(AA21-1))</f>
        <v/>
      </c>
      <c r="AB18" s="1" t="str">
        <f>IF(AB21="","",'Sprint 1'!TotalEffort-'Sprint 1'!TotalEffort/('Sprint 1'!ImplementationDays)*(AB21-1))</f>
        <v/>
      </c>
      <c r="AC18" s="1" t="str">
        <f>IF(AC21="","",'Sprint 1'!TotalEffort-'Sprint 1'!TotalEffort/('Sprint 1'!ImplementationDays)*(AC21-1))</f>
        <v/>
      </c>
      <c r="AD18" s="1" t="str">
        <f>IF(AD21="","",'Sprint 1'!TotalEffort-'Sprint 1'!TotalEffort/('Sprint 1'!ImplementationDays)*(AD21-1))</f>
        <v/>
      </c>
      <c r="AE18" s="1" t="str">
        <f>IF(AE21="","",'Sprint 1'!TotalEffort-'Sprint 1'!TotalEffort/('Sprint 1'!ImplementationDays)*(AE21-1))</f>
        <v/>
      </c>
      <c r="AF18" s="1" t="str">
        <f>IF(AF21="","",'Sprint 1'!TotalEffort-'Sprint 1'!TotalEffort/('Sprint 1'!ImplementationDays)*(AF21-1))</f>
        <v/>
      </c>
    </row>
    <row r="19" ht="12.75" hidden="1" customHeight="1">
      <c r="C19" s="28" t="s">
        <v>11</v>
      </c>
      <c r="E19" s="24" t="s">
        <v>12</v>
      </c>
      <c r="F19" s="1"/>
      <c r="G19" s="1"/>
      <c r="H19" s="1">
        <f t="array" ref="H19">IF(TREND(OFFSET($H17,0,'Sprint 1'!DoneDays-'Sprint 1'!TrendDays,1,'Sprint 1'!TrendDays),OFFSET($H20,0,'Sprint 1'!DoneDays-'Sprint 1'!TrendDays,1,'Sprint 1'!TrendDays),H20)&lt;0,"",TREND(OFFSET($H17,0,'Sprint 1'!DoneDays-'Sprint 1'!TrendDays,1,'Sprint 1'!TrendDays),OFFSET($H20,0,'Sprint 1'!DoneDays-'Sprint 1'!TrendDays,1,'Sprint 1'!TrendDays),H20))</f>
        <v>30.46428571</v>
      </c>
      <c r="I19" s="1">
        <f t="array" ref="I19">IF(TREND(OFFSET($H17,0,'Sprint 1'!DoneDays-'Sprint 1'!TrendDays,1,'Sprint 1'!TrendDays),OFFSET($H20,0,'Sprint 1'!DoneDays-'Sprint 1'!TrendDays,1,'Sprint 1'!TrendDays),I20)&lt;0,"",TREND(OFFSET($H17,0,'Sprint 1'!DoneDays-'Sprint 1'!TrendDays,1,'Sprint 1'!TrendDays),OFFSET($H20,0,'Sprint 1'!DoneDays-'Sprint 1'!TrendDays,1,'Sprint 1'!TrendDays),I20))</f>
        <v>26.5</v>
      </c>
      <c r="J19" s="1">
        <f t="array" ref="J19">IF(TREND(OFFSET($H17,0,'Sprint 1'!DoneDays-'Sprint 1'!TrendDays,1,'Sprint 1'!TrendDays),OFFSET($H20,0,'Sprint 1'!DoneDays-'Sprint 1'!TrendDays,1,'Sprint 1'!TrendDays),J20)&lt;0,"",TREND(OFFSET($H17,0,'Sprint 1'!DoneDays-'Sprint 1'!TrendDays,1,'Sprint 1'!TrendDays),OFFSET($H20,0,'Sprint 1'!DoneDays-'Sprint 1'!TrendDays,1,'Sprint 1'!TrendDays),J20))</f>
        <v>22.53571429</v>
      </c>
      <c r="K19" s="1">
        <f t="array" ref="K19">IF(TREND(OFFSET($H17,0,'Sprint 1'!DoneDays-'Sprint 1'!TrendDays,1,'Sprint 1'!TrendDays),OFFSET($H20,0,'Sprint 1'!DoneDays-'Sprint 1'!TrendDays,1,'Sprint 1'!TrendDays),K20)&lt;0,"",TREND(OFFSET($H17,0,'Sprint 1'!DoneDays-'Sprint 1'!TrendDays,1,'Sprint 1'!TrendDays),OFFSET($H20,0,'Sprint 1'!DoneDays-'Sprint 1'!TrendDays,1,'Sprint 1'!TrendDays),K20))</f>
        <v>18.57142857</v>
      </c>
      <c r="L19" s="1">
        <f t="array" ref="L19">IF(TREND(OFFSET($H17,0,'Sprint 1'!DoneDays-'Sprint 1'!TrendDays,1,'Sprint 1'!TrendDays),OFFSET($H20,0,'Sprint 1'!DoneDays-'Sprint 1'!TrendDays,1,'Sprint 1'!TrendDays),L20)&lt;0,"",TREND(OFFSET($H17,0,'Sprint 1'!DoneDays-'Sprint 1'!TrendDays,1,'Sprint 1'!TrendDays),OFFSET($H20,0,'Sprint 1'!DoneDays-'Sprint 1'!TrendDays,1,'Sprint 1'!TrendDays),L20))</f>
        <v>14.60714286</v>
      </c>
      <c r="M19" s="1">
        <f t="array" ref="M19">IF(TREND(OFFSET($H17,0,'Sprint 1'!DoneDays-'Sprint 1'!TrendDays,1,'Sprint 1'!TrendDays),OFFSET($H20,0,'Sprint 1'!DoneDays-'Sprint 1'!TrendDays,1,'Sprint 1'!TrendDays),M20)&lt;0,"",TREND(OFFSET($H17,0,'Sprint 1'!DoneDays-'Sprint 1'!TrendDays,1,'Sprint 1'!TrendDays),OFFSET($H20,0,'Sprint 1'!DoneDays-'Sprint 1'!TrendDays,1,'Sprint 1'!TrendDays),M20))</f>
        <v>10.64285714</v>
      </c>
      <c r="N19" s="1">
        <f t="array" ref="N19">IF(TREND(OFFSET($H17,0,'Sprint 1'!DoneDays-'Sprint 1'!TrendDays,1,'Sprint 1'!TrendDays),OFFSET($H20,0,'Sprint 1'!DoneDays-'Sprint 1'!TrendDays,1,'Sprint 1'!TrendDays),N20)&lt;0,"",TREND(OFFSET($H17,0,'Sprint 1'!DoneDays-'Sprint 1'!TrendDays,1,'Sprint 1'!TrendDays),OFFSET($H20,0,'Sprint 1'!DoneDays-'Sprint 1'!TrendDays,1,'Sprint 1'!TrendDays),N20))</f>
        <v>6.678571429</v>
      </c>
      <c r="O19" s="1">
        <f t="array" ref="O19">IF(TREND(OFFSET($H17,0,'Sprint 1'!DoneDays-'Sprint 1'!TrendDays,1,'Sprint 1'!TrendDays),OFFSET($H20,0,'Sprint 1'!DoneDays-'Sprint 1'!TrendDays,1,'Sprint 1'!TrendDays),O20)&lt;0,"",TREND(OFFSET($H17,0,'Sprint 1'!DoneDays-'Sprint 1'!TrendDays,1,'Sprint 1'!TrendDays),OFFSET($H20,0,'Sprint 1'!DoneDays-'Sprint 1'!TrendDays,1,'Sprint 1'!TrendDays),O20))</f>
        <v>2.714285714</v>
      </c>
      <c r="P19" s="1" t="str">
        <f t="array" ref="P19">IF(TREND(OFFSET($H17,0,'Sprint 1'!DoneDays-'Sprint 1'!TrendDays,1,'Sprint 1'!TrendDays),OFFSET($H20,0,'Sprint 1'!DoneDays-'Sprint 1'!TrendDays,1,'Sprint 1'!TrendDays),P20)&lt;0,"",TREND(OFFSET($H17,0,'Sprint 1'!DoneDays-'Sprint 1'!TrendDays,1,'Sprint 1'!TrendDays),OFFSET($H20,0,'Sprint 1'!DoneDays-'Sprint 1'!TrendDays,1,'Sprint 1'!TrendDays),P20))</f>
        <v/>
      </c>
      <c r="Q19" s="1" t="str">
        <f t="array" ref="Q19">IF(TREND(OFFSET($H17,0,'Sprint 1'!DoneDays-'Sprint 1'!TrendDays,1,'Sprint 1'!TrendDays),OFFSET($H20,0,'Sprint 1'!DoneDays-'Sprint 1'!TrendDays,1,'Sprint 1'!TrendDays),Q20)&lt;0,"",TREND(OFFSET($H17,0,'Sprint 1'!DoneDays-'Sprint 1'!TrendDays,1,'Sprint 1'!TrendDays),OFFSET($H20,0,'Sprint 1'!DoneDays-'Sprint 1'!TrendDays,1,'Sprint 1'!TrendDays),Q20))</f>
        <v/>
      </c>
      <c r="R19" s="1" t="str">
        <f t="array" ref="R19">IF(TREND(OFFSET($H17,0,'Sprint 1'!DoneDays-'Sprint 1'!TrendDays,1,'Sprint 1'!TrendDays),OFFSET($H20,0,'Sprint 1'!DoneDays-'Sprint 1'!TrendDays,1,'Sprint 1'!TrendDays),R20)&lt;0,"",TREND(OFFSET($H17,0,'Sprint 1'!DoneDays-'Sprint 1'!TrendDays,1,'Sprint 1'!TrendDays),OFFSET($H20,0,'Sprint 1'!DoneDays-'Sprint 1'!TrendDays,1,'Sprint 1'!TrendDays),R20))</f>
        <v/>
      </c>
      <c r="S19" s="1" t="str">
        <f t="array" ref="S19">IF(TREND(OFFSET($H17,0,'Sprint 1'!DoneDays-'Sprint 1'!TrendDays,1,'Sprint 1'!TrendDays),OFFSET($H20,0,'Sprint 1'!DoneDays-'Sprint 1'!TrendDays,1,'Sprint 1'!TrendDays),S20)&lt;0,"",TREND(OFFSET($H17,0,'Sprint 1'!DoneDays-'Sprint 1'!TrendDays,1,'Sprint 1'!TrendDays),OFFSET($H20,0,'Sprint 1'!DoneDays-'Sprint 1'!TrendDays,1,'Sprint 1'!TrendDays),S20))</f>
        <v/>
      </c>
      <c r="T19" s="1" t="str">
        <f t="array" ref="T19">IF(TREND(OFFSET($H17,0,'Sprint 1'!DoneDays-'Sprint 1'!TrendDays,1,'Sprint 1'!TrendDays),OFFSET($H20,0,'Sprint 1'!DoneDays-'Sprint 1'!TrendDays,1,'Sprint 1'!TrendDays),T20)&lt;0,"",TREND(OFFSET($H17,0,'Sprint 1'!DoneDays-'Sprint 1'!TrendDays,1,'Sprint 1'!TrendDays),OFFSET($H20,0,'Sprint 1'!DoneDays-'Sprint 1'!TrendDays,1,'Sprint 1'!TrendDays),T20))</f>
        <v/>
      </c>
      <c r="U19" s="1" t="str">
        <f t="array" ref="U19">IF(TREND(OFFSET($H17,0,'Sprint 1'!DoneDays-'Sprint 1'!TrendDays,1,'Sprint 1'!TrendDays),OFFSET($H20,0,'Sprint 1'!DoneDays-'Sprint 1'!TrendDays,1,'Sprint 1'!TrendDays),U20)&lt;0,"",TREND(OFFSET($H17,0,'Sprint 1'!DoneDays-'Sprint 1'!TrendDays,1,'Sprint 1'!TrendDays),OFFSET($H20,0,'Sprint 1'!DoneDays-'Sprint 1'!TrendDays,1,'Sprint 1'!TrendDays),U20))</f>
        <v/>
      </c>
      <c r="V19" s="1" t="str">
        <f t="array" ref="V19">IF(TREND(OFFSET($H17,0,'Sprint 1'!DoneDays-'Sprint 1'!TrendDays,1,'Sprint 1'!TrendDays),OFFSET($H20,0,'Sprint 1'!DoneDays-'Sprint 1'!TrendDays,1,'Sprint 1'!TrendDays),V20)&lt;0,"",TREND(OFFSET($H17,0,'Sprint 1'!DoneDays-'Sprint 1'!TrendDays,1,'Sprint 1'!TrendDays),OFFSET($H20,0,'Sprint 1'!DoneDays-'Sprint 1'!TrendDays,1,'Sprint 1'!TrendDays),V20))</f>
        <v/>
      </c>
      <c r="W19" s="1" t="str">
        <f t="array" ref="W19">IF(TREND(OFFSET($H17,0,'Sprint 1'!DoneDays-'Sprint 1'!TrendDays,1,'Sprint 1'!TrendDays),OFFSET($H20,0,'Sprint 1'!DoneDays-'Sprint 1'!TrendDays,1,'Sprint 1'!TrendDays),W20)&lt;0,"",TREND(OFFSET($H17,0,'Sprint 1'!DoneDays-'Sprint 1'!TrendDays,1,'Sprint 1'!TrendDays),OFFSET($H20,0,'Sprint 1'!DoneDays-'Sprint 1'!TrendDays,1,'Sprint 1'!TrendDays),W20))</f>
        <v/>
      </c>
      <c r="X19" s="1" t="str">
        <f t="array" ref="X19">IF(TREND(OFFSET($H17,0,'Sprint 1'!DoneDays-'Sprint 1'!TrendDays,1,'Sprint 1'!TrendDays),OFFSET($H20,0,'Sprint 1'!DoneDays-'Sprint 1'!TrendDays,1,'Sprint 1'!TrendDays),X20)&lt;0,"",TREND(OFFSET($H17,0,'Sprint 1'!DoneDays-'Sprint 1'!TrendDays,1,'Sprint 1'!TrendDays),OFFSET($H20,0,'Sprint 1'!DoneDays-'Sprint 1'!TrendDays,1,'Sprint 1'!TrendDays),X20))</f>
        <v/>
      </c>
      <c r="Y19" s="1" t="str">
        <f t="array" ref="Y19">IF(TREND(OFFSET($H17,0,'Sprint 1'!DoneDays-'Sprint 1'!TrendDays,1,'Sprint 1'!TrendDays),OFFSET($H20,0,'Sprint 1'!DoneDays-'Sprint 1'!TrendDays,1,'Sprint 1'!TrendDays),Y20)&lt;0,"",TREND(OFFSET($H17,0,'Sprint 1'!DoneDays-'Sprint 1'!TrendDays,1,'Sprint 1'!TrendDays),OFFSET($H20,0,'Sprint 1'!DoneDays-'Sprint 1'!TrendDays,1,'Sprint 1'!TrendDays),Y20))</f>
        <v/>
      </c>
      <c r="Z19" s="1" t="str">
        <f t="array" ref="Z19">IF(TREND(OFFSET($H17,0,'Sprint 1'!DoneDays-'Sprint 1'!TrendDays,1,'Sprint 1'!TrendDays),OFFSET($H20,0,'Sprint 1'!DoneDays-'Sprint 1'!TrendDays,1,'Sprint 1'!TrendDays),Z20)&lt;0,"",TREND(OFFSET($H17,0,'Sprint 1'!DoneDays-'Sprint 1'!TrendDays,1,'Sprint 1'!TrendDays),OFFSET($H20,0,'Sprint 1'!DoneDays-'Sprint 1'!TrendDays,1,'Sprint 1'!TrendDays),Z20))</f>
        <v/>
      </c>
      <c r="AA19" s="1" t="str">
        <f t="array" ref="AA19">IF(TREND(OFFSET($H17,0,'Sprint 1'!DoneDays-'Sprint 1'!TrendDays,1,'Sprint 1'!TrendDays),OFFSET($H20,0,'Sprint 1'!DoneDays-'Sprint 1'!TrendDays,1,'Sprint 1'!TrendDays),AA20)&lt;0,"",TREND(OFFSET($H17,0,'Sprint 1'!DoneDays-'Sprint 1'!TrendDays,1,'Sprint 1'!TrendDays),OFFSET($H20,0,'Sprint 1'!DoneDays-'Sprint 1'!TrendDays,1,'Sprint 1'!TrendDays),AA20))</f>
        <v/>
      </c>
      <c r="AB19" s="1" t="str">
        <f t="array" ref="AB19">IF(TREND(OFFSET($H17,0,'Sprint 1'!DoneDays-'Sprint 1'!TrendDays,1,'Sprint 1'!TrendDays),OFFSET($H20,0,'Sprint 1'!DoneDays-'Sprint 1'!TrendDays,1,'Sprint 1'!TrendDays),AB20)&lt;0,"",TREND(OFFSET($H17,0,'Sprint 1'!DoneDays-'Sprint 1'!TrendDays,1,'Sprint 1'!TrendDays),OFFSET($H20,0,'Sprint 1'!DoneDays-'Sprint 1'!TrendDays,1,'Sprint 1'!TrendDays),AB20))</f>
        <v/>
      </c>
      <c r="AC19" s="1" t="str">
        <f t="array" ref="AC19">IF(TREND(OFFSET($H17,0,'Sprint 1'!DoneDays-'Sprint 1'!TrendDays,1,'Sprint 1'!TrendDays),OFFSET($H20,0,'Sprint 1'!DoneDays-'Sprint 1'!TrendDays,1,'Sprint 1'!TrendDays),AC20)&lt;0,"",TREND(OFFSET($H17,0,'Sprint 1'!DoneDays-'Sprint 1'!TrendDays,1,'Sprint 1'!TrendDays),OFFSET($H20,0,'Sprint 1'!DoneDays-'Sprint 1'!TrendDays,1,'Sprint 1'!TrendDays),AC20))</f>
        <v/>
      </c>
      <c r="AD19" s="1" t="str">
        <f t="array" ref="AD19">IF(TREND(OFFSET($H17,0,'Sprint 1'!DoneDays-'Sprint 1'!TrendDays,1,'Sprint 1'!TrendDays),OFFSET($H20,0,'Sprint 1'!DoneDays-'Sprint 1'!TrendDays,1,'Sprint 1'!TrendDays),AD20)&lt;0,"",TREND(OFFSET($H17,0,'Sprint 1'!DoneDays-'Sprint 1'!TrendDays,1,'Sprint 1'!TrendDays),OFFSET($H20,0,'Sprint 1'!DoneDays-'Sprint 1'!TrendDays,1,'Sprint 1'!TrendDays),AD20))</f>
        <v/>
      </c>
      <c r="AE19" s="1" t="str">
        <f t="array" ref="AE19">IF(TREND(OFFSET($H17,0,'Sprint 1'!DoneDays-'Sprint 1'!TrendDays,1,'Sprint 1'!TrendDays),OFFSET($H20,0,'Sprint 1'!DoneDays-'Sprint 1'!TrendDays,1,'Sprint 1'!TrendDays),AE20)&lt;0,"",TREND(OFFSET($H17,0,'Sprint 1'!DoneDays-'Sprint 1'!TrendDays,1,'Sprint 1'!TrendDays),OFFSET($H20,0,'Sprint 1'!DoneDays-'Sprint 1'!TrendDays,1,'Sprint 1'!TrendDays),AE20))</f>
        <v/>
      </c>
      <c r="AF19" s="1" t="str">
        <f t="array" ref="AF19">IF(TREND(OFFSET($H17,0,'Sprint 1'!DoneDays-'Sprint 1'!TrendDays,1,'Sprint 1'!TrendDays),OFFSET($H20,0,'Sprint 1'!DoneDays-'Sprint 1'!TrendDays,1,'Sprint 1'!TrendDays),AF20)&lt;0,"",TREND(OFFSET($H17,0,'Sprint 1'!DoneDays-'Sprint 1'!TrendDays,1,'Sprint 1'!TrendDays),OFFSET($H20,0,'Sprint 1'!DoneDays-'Sprint 1'!TrendDays,1,'Sprint 1'!TrendDays),AF20))</f>
        <v/>
      </c>
    </row>
    <row r="20" ht="12.75" hidden="1" customHeight="1">
      <c r="C20" s="28" t="s">
        <v>13</v>
      </c>
      <c r="E20" s="24" t="s">
        <v>14</v>
      </c>
      <c r="F20" s="1">
        <f>IF('Sprint 1'!DoneDays&gt;D17,D17,'Sprint 1'!DoneDays)</f>
        <v>7</v>
      </c>
      <c r="G20" s="1"/>
      <c r="H20" s="1">
        <f>IF('Sprint 1'!DoneDays&gt;G20,G20+1,"")</f>
        <v>1</v>
      </c>
      <c r="I20" s="1">
        <v>2.0</v>
      </c>
      <c r="J20" s="1">
        <v>3.0</v>
      </c>
      <c r="K20" s="1">
        <v>4.0</v>
      </c>
      <c r="L20" s="1">
        <v>5.0</v>
      </c>
      <c r="M20" s="1">
        <v>6.0</v>
      </c>
      <c r="N20" s="1">
        <v>7.0</v>
      </c>
      <c r="O20" s="1">
        <v>8.0</v>
      </c>
      <c r="P20" s="1">
        <v>9.0</v>
      </c>
      <c r="Q20" s="1">
        <v>10.0</v>
      </c>
      <c r="R20" s="1">
        <v>11.0</v>
      </c>
      <c r="S20" s="1">
        <v>12.0</v>
      </c>
      <c r="T20" s="1">
        <v>13.0</v>
      </c>
      <c r="U20" s="1">
        <v>14.0</v>
      </c>
      <c r="V20" s="1">
        <v>15.0</v>
      </c>
      <c r="W20" s="1">
        <v>16.0</v>
      </c>
      <c r="X20" s="1">
        <v>17.0</v>
      </c>
      <c r="Y20" s="1">
        <v>18.0</v>
      </c>
      <c r="Z20" s="1">
        <v>19.0</v>
      </c>
      <c r="AA20" s="1">
        <v>20.0</v>
      </c>
      <c r="AB20" s="1">
        <v>21.0</v>
      </c>
      <c r="AC20" s="1">
        <v>22.0</v>
      </c>
      <c r="AD20" s="1">
        <v>23.0</v>
      </c>
      <c r="AE20" s="1">
        <v>24.0</v>
      </c>
      <c r="AF20" s="1">
        <v>25.0</v>
      </c>
    </row>
    <row r="21" ht="12.75" customHeight="1">
      <c r="B21" s="25" t="s">
        <v>15</v>
      </c>
      <c r="C21" s="29" t="s">
        <v>16</v>
      </c>
      <c r="D21" s="29" t="s">
        <v>17</v>
      </c>
      <c r="E21" s="29" t="s">
        <v>18</v>
      </c>
      <c r="F21" s="29" t="s">
        <v>19</v>
      </c>
      <c r="G21" s="29" t="s">
        <v>20</v>
      </c>
      <c r="H21" s="29">
        <v>1.0</v>
      </c>
      <c r="I21" s="29">
        <f t="shared" ref="I21:AF21" si="1">IF($D$16&gt;H21,H21+1,"")</f>
        <v>2</v>
      </c>
      <c r="J21" s="29">
        <f t="shared" si="1"/>
        <v>3</v>
      </c>
      <c r="K21" s="29">
        <f t="shared" si="1"/>
        <v>4</v>
      </c>
      <c r="L21" s="29">
        <f t="shared" si="1"/>
        <v>5</v>
      </c>
      <c r="M21" s="29">
        <f t="shared" si="1"/>
        <v>6</v>
      </c>
      <c r="N21" s="29">
        <f t="shared" si="1"/>
        <v>7</v>
      </c>
      <c r="O21" s="29">
        <f t="shared" si="1"/>
        <v>8</v>
      </c>
      <c r="P21" s="29">
        <f t="shared" si="1"/>
        <v>9</v>
      </c>
      <c r="Q21" s="29">
        <f t="shared" si="1"/>
        <v>10</v>
      </c>
      <c r="R21" s="29" t="str">
        <f t="shared" si="1"/>
        <v/>
      </c>
      <c r="S21" s="29" t="str">
        <f t="shared" si="1"/>
        <v/>
      </c>
      <c r="T21" s="29" t="str">
        <f t="shared" si="1"/>
        <v/>
      </c>
      <c r="U21" s="29" t="str">
        <f t="shared" si="1"/>
        <v/>
      </c>
      <c r="V21" s="29" t="str">
        <f t="shared" si="1"/>
        <v/>
      </c>
      <c r="W21" s="29" t="str">
        <f t="shared" si="1"/>
        <v/>
      </c>
      <c r="X21" s="29" t="str">
        <f t="shared" si="1"/>
        <v/>
      </c>
      <c r="Y21" s="29" t="str">
        <f t="shared" si="1"/>
        <v/>
      </c>
      <c r="Z21" s="29" t="str">
        <f t="shared" si="1"/>
        <v/>
      </c>
      <c r="AA21" s="29" t="str">
        <f t="shared" si="1"/>
        <v/>
      </c>
      <c r="AB21" s="29" t="str">
        <f t="shared" si="1"/>
        <v/>
      </c>
      <c r="AC21" s="29" t="str">
        <f t="shared" si="1"/>
        <v/>
      </c>
      <c r="AD21" s="29" t="str">
        <f t="shared" si="1"/>
        <v/>
      </c>
      <c r="AE21" s="29" t="str">
        <f t="shared" si="1"/>
        <v/>
      </c>
      <c r="AF21" s="29" t="str">
        <f t="shared" si="1"/>
        <v/>
      </c>
    </row>
    <row r="22" ht="12.75" customHeight="1">
      <c r="B22" s="30">
        <v>46023.0</v>
      </c>
      <c r="C22" s="31" t="s">
        <v>21</v>
      </c>
      <c r="D22" s="31" t="s">
        <v>22</v>
      </c>
      <c r="E22" s="31" t="s">
        <v>23</v>
      </c>
      <c r="F22" s="31" t="s">
        <v>24</v>
      </c>
      <c r="G22" s="31">
        <v>3.0</v>
      </c>
      <c r="H22" s="31">
        <v>3.0</v>
      </c>
      <c r="I22" s="31">
        <v>2.0</v>
      </c>
      <c r="J22" s="31">
        <v>2.0</v>
      </c>
      <c r="K22" s="31">
        <v>1.0</v>
      </c>
      <c r="L22" s="31">
        <v>1.0</v>
      </c>
      <c r="M22" s="31">
        <v>0.0</v>
      </c>
      <c r="N22" s="31">
        <v>0.0</v>
      </c>
      <c r="O22" s="31">
        <v>0.0</v>
      </c>
      <c r="P22" s="31">
        <v>0.0</v>
      </c>
      <c r="Q22" s="31">
        <v>0.0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 t="str">
        <f t="shared" ref="AE22:AF22" si="2">IF(OR(AE$21="",$G22=""),"",AD22)</f>
        <v/>
      </c>
      <c r="AF22" s="1" t="str">
        <f t="shared" si="2"/>
        <v/>
      </c>
    </row>
    <row r="23" ht="12.75" customHeight="1">
      <c r="B23" s="30">
        <v>46054.0</v>
      </c>
      <c r="C23" s="31" t="s">
        <v>25</v>
      </c>
      <c r="D23" s="31" t="s">
        <v>26</v>
      </c>
      <c r="E23" s="31" t="s">
        <v>27</v>
      </c>
      <c r="F23" s="31" t="s">
        <v>28</v>
      </c>
      <c r="G23" s="31">
        <v>2.0</v>
      </c>
      <c r="H23" s="31">
        <v>2.0</v>
      </c>
      <c r="I23" s="31">
        <v>2.0</v>
      </c>
      <c r="J23" s="31">
        <v>1.0</v>
      </c>
      <c r="K23" s="31">
        <v>1.0</v>
      </c>
      <c r="L23" s="31">
        <v>1.0</v>
      </c>
      <c r="M23" s="31">
        <v>0.0</v>
      </c>
      <c r="N23" s="31">
        <v>0.0</v>
      </c>
      <c r="O23" s="31">
        <v>0.0</v>
      </c>
      <c r="P23" s="31">
        <v>0.0</v>
      </c>
      <c r="Q23" s="31">
        <v>0.0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 t="str">
        <f t="shared" ref="AE23:AF23" si="3">IF(OR(AE$21="",$G23=""),"",AD23)</f>
        <v/>
      </c>
      <c r="AF23" s="1" t="str">
        <f t="shared" si="3"/>
        <v/>
      </c>
    </row>
    <row r="24" ht="12.75" customHeight="1">
      <c r="B24" s="30">
        <v>46082.0</v>
      </c>
      <c r="C24" s="31" t="s">
        <v>29</v>
      </c>
      <c r="D24" s="31" t="s">
        <v>30</v>
      </c>
      <c r="E24" s="31" t="s">
        <v>31</v>
      </c>
      <c r="F24" s="31" t="s">
        <v>28</v>
      </c>
      <c r="G24" s="31">
        <v>3.0</v>
      </c>
      <c r="H24" s="31">
        <v>3.0</v>
      </c>
      <c r="I24" s="31">
        <v>3.0</v>
      </c>
      <c r="J24" s="31">
        <v>2.0</v>
      </c>
      <c r="K24" s="31">
        <v>2.0</v>
      </c>
      <c r="L24" s="31">
        <v>1.0</v>
      </c>
      <c r="M24" s="31">
        <v>1.0</v>
      </c>
      <c r="N24" s="31">
        <v>0.0</v>
      </c>
      <c r="O24" s="31">
        <v>0.0</v>
      </c>
      <c r="P24" s="31">
        <v>0.0</v>
      </c>
      <c r="Q24" s="31">
        <v>0.0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 t="str">
        <f t="shared" ref="AE24:AF24" si="4">IF(OR(AE$21="",$G24=""),"",AD24)</f>
        <v/>
      </c>
      <c r="AF24" s="1" t="str">
        <f t="shared" si="4"/>
        <v/>
      </c>
    </row>
    <row r="25" ht="12.75" customHeight="1">
      <c r="B25" s="30">
        <v>46113.0</v>
      </c>
      <c r="C25" s="31" t="s">
        <v>32</v>
      </c>
      <c r="D25" s="31" t="s">
        <v>33</v>
      </c>
      <c r="E25" s="31" t="s">
        <v>34</v>
      </c>
      <c r="F25" s="31" t="s">
        <v>28</v>
      </c>
      <c r="G25" s="31">
        <v>3.0</v>
      </c>
      <c r="H25" s="31">
        <v>3.0</v>
      </c>
      <c r="I25" s="31">
        <v>3.0</v>
      </c>
      <c r="J25" s="31">
        <v>3.0</v>
      </c>
      <c r="K25" s="31">
        <v>2.0</v>
      </c>
      <c r="L25" s="31">
        <v>2.0</v>
      </c>
      <c r="M25" s="31">
        <v>1.0</v>
      </c>
      <c r="N25" s="31">
        <v>1.0</v>
      </c>
      <c r="O25" s="31">
        <v>0.0</v>
      </c>
      <c r="P25" s="31">
        <v>0.0</v>
      </c>
      <c r="Q25" s="31">
        <v>0.0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 t="str">
        <f t="shared" ref="AE25:AF25" si="5">IF(OR(AE$21="",$G25=""),"",AD25)</f>
        <v/>
      </c>
      <c r="AF25" s="1" t="str">
        <f t="shared" si="5"/>
        <v/>
      </c>
    </row>
    <row r="26" ht="12.75" customHeight="1">
      <c r="B26" s="30">
        <v>46143.0</v>
      </c>
      <c r="C26" s="31" t="s">
        <v>35</v>
      </c>
      <c r="D26" s="31" t="s">
        <v>36</v>
      </c>
      <c r="E26" s="31" t="s">
        <v>23</v>
      </c>
      <c r="F26" s="31" t="s">
        <v>28</v>
      </c>
      <c r="G26" s="31">
        <v>2.0</v>
      </c>
      <c r="H26" s="31">
        <v>2.0</v>
      </c>
      <c r="I26" s="31">
        <v>2.0</v>
      </c>
      <c r="J26" s="31">
        <v>2.0</v>
      </c>
      <c r="K26" s="31">
        <v>2.0</v>
      </c>
      <c r="L26" s="31">
        <v>1.0</v>
      </c>
      <c r="M26" s="31">
        <v>1.0</v>
      </c>
      <c r="N26" s="31">
        <v>0.0</v>
      </c>
      <c r="O26" s="31">
        <v>0.0</v>
      </c>
      <c r="P26" s="31">
        <v>0.0</v>
      </c>
      <c r="Q26" s="31">
        <v>0.0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 t="str">
        <f t="shared" ref="AE26:AF26" si="6">IF(OR(AE$21="",$G26=""),"",AD26)</f>
        <v/>
      </c>
      <c r="AF26" s="1" t="str">
        <f t="shared" si="6"/>
        <v/>
      </c>
    </row>
    <row r="27" ht="12.75" customHeight="1">
      <c r="B27" s="30">
        <v>46174.0</v>
      </c>
      <c r="C27" s="31" t="s">
        <v>37</v>
      </c>
      <c r="D27" s="31" t="s">
        <v>38</v>
      </c>
      <c r="E27" s="31" t="s">
        <v>27</v>
      </c>
      <c r="F27" s="31" t="s">
        <v>28</v>
      </c>
      <c r="G27" s="31">
        <v>3.0</v>
      </c>
      <c r="H27" s="31">
        <v>3.0</v>
      </c>
      <c r="I27" s="31">
        <v>3.0</v>
      </c>
      <c r="J27" s="31">
        <v>3.0</v>
      </c>
      <c r="K27" s="31">
        <v>2.0</v>
      </c>
      <c r="L27" s="31">
        <v>2.0</v>
      </c>
      <c r="M27" s="31">
        <v>1.0</v>
      </c>
      <c r="N27" s="31">
        <v>1.0</v>
      </c>
      <c r="O27" s="31">
        <v>0.0</v>
      </c>
      <c r="P27" s="31">
        <v>0.0</v>
      </c>
      <c r="Q27" s="31">
        <v>0.0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 t="str">
        <f t="shared" ref="AE27:AF27" si="7">IF(OR(AE$21="",$G27=""),"",AD27)</f>
        <v/>
      </c>
      <c r="AF27" s="1" t="str">
        <f t="shared" si="7"/>
        <v/>
      </c>
    </row>
    <row r="28" ht="12.75" customHeight="1">
      <c r="B28" s="30">
        <v>46204.0</v>
      </c>
      <c r="C28" s="31" t="s">
        <v>39</v>
      </c>
      <c r="D28" s="31" t="s">
        <v>40</v>
      </c>
      <c r="E28" s="31" t="s">
        <v>31</v>
      </c>
      <c r="F28" s="31" t="s">
        <v>28</v>
      </c>
      <c r="G28" s="31">
        <v>3.0</v>
      </c>
      <c r="H28" s="31">
        <v>3.0</v>
      </c>
      <c r="I28" s="31">
        <v>3.0</v>
      </c>
      <c r="J28" s="31">
        <v>3.0</v>
      </c>
      <c r="K28" s="31">
        <v>3.0</v>
      </c>
      <c r="L28" s="31">
        <v>2.0</v>
      </c>
      <c r="M28" s="31">
        <v>2.0</v>
      </c>
      <c r="N28" s="31">
        <v>1.0</v>
      </c>
      <c r="O28" s="31">
        <v>0.0</v>
      </c>
      <c r="P28" s="31">
        <v>0.0</v>
      </c>
      <c r="Q28" s="31">
        <v>0.0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 t="str">
        <f t="shared" ref="AE28:AF28" si="8">IF(OR(AE$21="",$G28=""),"",AD28)</f>
        <v/>
      </c>
      <c r="AF28" s="1" t="str">
        <f t="shared" si="8"/>
        <v/>
      </c>
    </row>
    <row r="29" ht="12.75" customHeight="1">
      <c r="B29" s="30">
        <v>46235.0</v>
      </c>
      <c r="C29" s="31" t="s">
        <v>41</v>
      </c>
      <c r="D29" s="31" t="s">
        <v>42</v>
      </c>
      <c r="E29" s="31" t="s">
        <v>34</v>
      </c>
      <c r="F29" s="31" t="s">
        <v>28</v>
      </c>
      <c r="G29" s="31">
        <v>3.0</v>
      </c>
      <c r="H29" s="31">
        <v>3.0</v>
      </c>
      <c r="I29" s="31">
        <v>3.0</v>
      </c>
      <c r="J29" s="31">
        <v>3.0</v>
      </c>
      <c r="K29" s="31">
        <v>2.0</v>
      </c>
      <c r="L29" s="31">
        <v>2.0</v>
      </c>
      <c r="M29" s="31">
        <v>1.0</v>
      </c>
      <c r="N29" s="31">
        <v>1.0</v>
      </c>
      <c r="O29" s="31">
        <v>0.0</v>
      </c>
      <c r="P29" s="31">
        <v>0.0</v>
      </c>
      <c r="Q29" s="31">
        <v>0.0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 t="str">
        <f t="shared" ref="AE29:AF29" si="9">IF(OR(AE$21="",$G29=""),"",AD29)</f>
        <v/>
      </c>
      <c r="AF29" s="1" t="str">
        <f t="shared" si="9"/>
        <v/>
      </c>
    </row>
    <row r="30" ht="12.75" customHeight="1">
      <c r="B30" s="30">
        <v>46266.0</v>
      </c>
      <c r="C30" s="31" t="s">
        <v>43</v>
      </c>
      <c r="D30" s="31" t="s">
        <v>44</v>
      </c>
      <c r="E30" s="31" t="s">
        <v>23</v>
      </c>
      <c r="F30" s="31" t="s">
        <v>28</v>
      </c>
      <c r="G30" s="31">
        <v>3.0</v>
      </c>
      <c r="H30" s="31">
        <v>3.0</v>
      </c>
      <c r="I30" s="31">
        <v>3.0</v>
      </c>
      <c r="J30" s="31">
        <v>3.0</v>
      </c>
      <c r="K30" s="31">
        <v>2.0</v>
      </c>
      <c r="L30" s="31">
        <v>2.0</v>
      </c>
      <c r="M30" s="31">
        <v>1.0</v>
      </c>
      <c r="N30" s="31">
        <v>1.0</v>
      </c>
      <c r="O30" s="31">
        <v>0.0</v>
      </c>
      <c r="P30" s="31">
        <v>0.0</v>
      </c>
      <c r="Q30" s="31">
        <v>0.0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 t="str">
        <f t="shared" ref="AE30:AF30" si="10">IF(OR(AE$21="",$G30=""),"",AD30)</f>
        <v/>
      </c>
      <c r="AF30" s="1" t="str">
        <f t="shared" si="10"/>
        <v/>
      </c>
    </row>
    <row r="31" ht="12.75" customHeight="1">
      <c r="B31" s="30">
        <v>46296.0</v>
      </c>
      <c r="C31" s="31" t="s">
        <v>45</v>
      </c>
      <c r="D31" s="31" t="s">
        <v>46</v>
      </c>
      <c r="E31" s="31" t="s">
        <v>27</v>
      </c>
      <c r="F31" s="31" t="s">
        <v>28</v>
      </c>
      <c r="G31" s="31">
        <v>3.0</v>
      </c>
      <c r="H31" s="31">
        <v>3.0</v>
      </c>
      <c r="I31" s="31">
        <v>3.0</v>
      </c>
      <c r="J31" s="31">
        <v>3.0</v>
      </c>
      <c r="K31" s="31">
        <v>2.0</v>
      </c>
      <c r="L31" s="31">
        <v>2.0</v>
      </c>
      <c r="M31" s="31">
        <v>1.0</v>
      </c>
      <c r="N31" s="31">
        <v>1.0</v>
      </c>
      <c r="O31" s="31">
        <v>0.0</v>
      </c>
      <c r="P31" s="31">
        <v>0.0</v>
      </c>
      <c r="Q31" s="31">
        <v>0.0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 t="str">
        <f t="shared" ref="AE31:AF31" si="11">IF(OR(AE$21="",$G31=""),"",AD31)</f>
        <v/>
      </c>
      <c r="AF31" s="1" t="str">
        <f t="shared" si="11"/>
        <v/>
      </c>
    </row>
    <row r="32" ht="12.75" customHeight="1">
      <c r="D32" s="1"/>
      <c r="F32" s="24" t="str">
        <f t="shared" ref="F32:F63" si="13">IF(C32&lt;&gt;"","Planned","")</f>
        <v/>
      </c>
      <c r="G32" s="1"/>
      <c r="H32" s="1" t="str">
        <f t="shared" ref="H32:H66" si="14">IF(OR(H$21="",$G32=""),"",G32)</f>
        <v/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 t="str">
        <f t="shared" ref="AE32:AF32" si="12">IF(OR(AE$21="",$G32=""),"",AD32)</f>
        <v/>
      </c>
      <c r="AF32" s="1" t="str">
        <f t="shared" si="12"/>
        <v/>
      </c>
    </row>
    <row r="33" ht="12.75" customHeight="1">
      <c r="D33" s="1"/>
      <c r="F33" s="24" t="str">
        <f t="shared" si="13"/>
        <v/>
      </c>
      <c r="G33" s="1"/>
      <c r="H33" s="1" t="str">
        <f t="shared" si="14"/>
        <v/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 t="str">
        <f t="shared" ref="AE33:AF33" si="15">IF(OR(AE$21="",$G33=""),"",AD33)</f>
        <v/>
      </c>
      <c r="AF33" s="1" t="str">
        <f t="shared" si="15"/>
        <v/>
      </c>
    </row>
    <row r="34" ht="12.75" customHeight="1">
      <c r="D34" s="1"/>
      <c r="F34" s="24" t="str">
        <f t="shared" si="13"/>
        <v/>
      </c>
      <c r="G34" s="1"/>
      <c r="H34" s="1" t="str">
        <f t="shared" si="14"/>
        <v/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 t="str">
        <f t="shared" ref="AE34:AF34" si="16">IF(OR(AE$21="",$G34=""),"",AD34)</f>
        <v/>
      </c>
      <c r="AF34" s="1" t="str">
        <f t="shared" si="16"/>
        <v/>
      </c>
    </row>
    <row r="35" ht="12.75" customHeight="1">
      <c r="D35" s="1"/>
      <c r="F35" s="24" t="str">
        <f t="shared" si="13"/>
        <v/>
      </c>
      <c r="G35" s="1"/>
      <c r="H35" s="1" t="str">
        <f t="shared" si="14"/>
        <v/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 t="str">
        <f t="shared" ref="AE35:AF35" si="17">IF(OR(AE$21="",$G35=""),"",AD35)</f>
        <v/>
      </c>
      <c r="AF35" s="1" t="str">
        <f t="shared" si="17"/>
        <v/>
      </c>
    </row>
    <row r="36" ht="12.75" customHeight="1">
      <c r="D36" s="1"/>
      <c r="F36" s="24" t="str">
        <f t="shared" si="13"/>
        <v/>
      </c>
      <c r="G36" s="1"/>
      <c r="H36" s="1" t="str">
        <f t="shared" si="14"/>
        <v/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 t="str">
        <f t="shared" ref="AE36:AF36" si="18">IF(OR(AE$21="",$G36=""),"",AD36)</f>
        <v/>
      </c>
      <c r="AF36" s="1" t="str">
        <f t="shared" si="18"/>
        <v/>
      </c>
    </row>
    <row r="37" ht="12.75" customHeight="1">
      <c r="D37" s="1"/>
      <c r="F37" s="24" t="str">
        <f t="shared" si="13"/>
        <v/>
      </c>
      <c r="G37" s="1"/>
      <c r="H37" s="1" t="str">
        <f t="shared" si="14"/>
        <v/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 t="str">
        <f t="shared" ref="AE37:AF37" si="19">IF(OR(AE$21="",$G37=""),"",AD37)</f>
        <v/>
      </c>
      <c r="AF37" s="1" t="str">
        <f t="shared" si="19"/>
        <v/>
      </c>
    </row>
    <row r="38" ht="12.75" customHeight="1">
      <c r="D38" s="1"/>
      <c r="F38" s="24" t="str">
        <f t="shared" si="13"/>
        <v/>
      </c>
      <c r="G38" s="1"/>
      <c r="H38" s="1" t="str">
        <f t="shared" si="14"/>
        <v/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 t="str">
        <f t="shared" ref="AE38:AF38" si="20">IF(OR(AE$21="",$G38=""),"",AD38)</f>
        <v/>
      </c>
      <c r="AF38" s="1" t="str">
        <f t="shared" si="20"/>
        <v/>
      </c>
    </row>
    <row r="39" ht="12.75" customHeight="1">
      <c r="D39" s="1"/>
      <c r="F39" s="24" t="str">
        <f t="shared" si="13"/>
        <v/>
      </c>
      <c r="G39" s="1"/>
      <c r="H39" s="1" t="str">
        <f t="shared" si="14"/>
        <v/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 t="str">
        <f t="shared" ref="AE39:AF39" si="21">IF(OR(AE$21="",$G39=""),"",AD39)</f>
        <v/>
      </c>
      <c r="AF39" s="1" t="str">
        <f t="shared" si="21"/>
        <v/>
      </c>
    </row>
    <row r="40" ht="12.75" customHeight="1">
      <c r="D40" s="1"/>
      <c r="F40" s="24" t="str">
        <f t="shared" si="13"/>
        <v/>
      </c>
      <c r="G40" s="1"/>
      <c r="H40" s="1" t="str">
        <f t="shared" si="14"/>
        <v/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 t="str">
        <f t="shared" ref="AE40:AF40" si="22">IF(OR(AE$21="",$G40=""),"",AD40)</f>
        <v/>
      </c>
      <c r="AF40" s="1" t="str">
        <f t="shared" si="22"/>
        <v/>
      </c>
    </row>
    <row r="41" ht="12.75" customHeight="1">
      <c r="D41" s="1"/>
      <c r="F41" s="24" t="str">
        <f t="shared" si="13"/>
        <v/>
      </c>
      <c r="G41" s="1"/>
      <c r="H41" s="1" t="str">
        <f t="shared" si="14"/>
        <v/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 t="str">
        <f t="shared" ref="AE41:AF41" si="23">IF(OR(AE$21="",$G41=""),"",AD41)</f>
        <v/>
      </c>
      <c r="AF41" s="1" t="str">
        <f t="shared" si="23"/>
        <v/>
      </c>
    </row>
    <row r="42" ht="12.75" customHeight="1">
      <c r="D42" s="1"/>
      <c r="F42" s="24" t="str">
        <f t="shared" si="13"/>
        <v/>
      </c>
      <c r="G42" s="1"/>
      <c r="H42" s="1" t="str">
        <f t="shared" si="14"/>
        <v/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 t="str">
        <f t="shared" ref="AE42:AF42" si="24">IF(OR(AE$21="",$G42=""),"",AD42)</f>
        <v/>
      </c>
      <c r="AF42" s="1" t="str">
        <f t="shared" si="24"/>
        <v/>
      </c>
    </row>
    <row r="43" ht="12.75" customHeight="1">
      <c r="D43" s="1"/>
      <c r="F43" s="24" t="str">
        <f t="shared" si="13"/>
        <v/>
      </c>
      <c r="G43" s="1"/>
      <c r="H43" s="1" t="str">
        <f t="shared" si="14"/>
        <v/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 t="str">
        <f t="shared" ref="AE43:AF43" si="25">IF(OR(AE$21="",$G43=""),"",AD43)</f>
        <v/>
      </c>
      <c r="AF43" s="1" t="str">
        <f t="shared" si="25"/>
        <v/>
      </c>
    </row>
    <row r="44" ht="12.75" customHeight="1">
      <c r="D44" s="1"/>
      <c r="F44" s="24" t="str">
        <f t="shared" si="13"/>
        <v/>
      </c>
      <c r="G44" s="1"/>
      <c r="H44" s="1" t="str">
        <f t="shared" si="14"/>
        <v/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 t="str">
        <f t="shared" ref="AE44:AF44" si="26">IF(OR(AE$21="",$G44=""),"",AD44)</f>
        <v/>
      </c>
      <c r="AF44" s="1" t="str">
        <f t="shared" si="26"/>
        <v/>
      </c>
    </row>
    <row r="45" ht="12.75" customHeight="1">
      <c r="D45" s="1"/>
      <c r="F45" s="24" t="str">
        <f t="shared" si="13"/>
        <v/>
      </c>
      <c r="G45" s="1"/>
      <c r="H45" s="1" t="str">
        <f t="shared" si="14"/>
        <v/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 t="str">
        <f t="shared" ref="AE45:AF45" si="27">IF(OR(AE$21="",$G45=""),"",AD45)</f>
        <v/>
      </c>
      <c r="AF45" s="1" t="str">
        <f t="shared" si="27"/>
        <v/>
      </c>
    </row>
    <row r="46" ht="12.75" customHeight="1">
      <c r="D46" s="1"/>
      <c r="F46" s="24" t="str">
        <f t="shared" si="13"/>
        <v/>
      </c>
      <c r="G46" s="1"/>
      <c r="H46" s="1" t="str">
        <f t="shared" si="14"/>
        <v/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 t="str">
        <f t="shared" ref="AE46:AF46" si="28">IF(OR(AE$21="",$G46=""),"",AD46)</f>
        <v/>
      </c>
      <c r="AF46" s="1" t="str">
        <f t="shared" si="28"/>
        <v/>
      </c>
    </row>
    <row r="47" ht="12.75" customHeight="1">
      <c r="D47" s="1"/>
      <c r="F47" s="24" t="str">
        <f t="shared" si="13"/>
        <v/>
      </c>
      <c r="G47" s="1"/>
      <c r="H47" s="1" t="str">
        <f t="shared" si="14"/>
        <v/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 t="str">
        <f t="shared" ref="AE47:AF47" si="29">IF(OR(AE$21="",$G47=""),"",AD47)</f>
        <v/>
      </c>
      <c r="AF47" s="1" t="str">
        <f t="shared" si="29"/>
        <v/>
      </c>
    </row>
    <row r="48" ht="12.75" customHeight="1">
      <c r="D48" s="1"/>
      <c r="F48" s="24" t="str">
        <f t="shared" si="13"/>
        <v/>
      </c>
      <c r="G48" s="1"/>
      <c r="H48" s="1" t="str">
        <f t="shared" si="14"/>
        <v/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 t="str">
        <f t="shared" ref="AE48:AF48" si="30">IF(OR(AE$21="",$G48=""),"",AD48)</f>
        <v/>
      </c>
      <c r="AF48" s="1" t="str">
        <f t="shared" si="30"/>
        <v/>
      </c>
    </row>
    <row r="49" ht="12.75" customHeight="1">
      <c r="D49" s="1"/>
      <c r="F49" s="24" t="str">
        <f t="shared" si="13"/>
        <v/>
      </c>
      <c r="G49" s="1"/>
      <c r="H49" s="1" t="str">
        <f t="shared" si="14"/>
        <v/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 t="str">
        <f t="shared" ref="AE49:AF49" si="31">IF(OR(AE$21="",$G49=""),"",AD49)</f>
        <v/>
      </c>
      <c r="AF49" s="1" t="str">
        <f t="shared" si="31"/>
        <v/>
      </c>
    </row>
    <row r="50" ht="12.75" customHeight="1">
      <c r="D50" s="1"/>
      <c r="F50" s="24" t="str">
        <f t="shared" si="13"/>
        <v/>
      </c>
      <c r="G50" s="1"/>
      <c r="H50" s="1" t="str">
        <f t="shared" si="14"/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 t="str">
        <f t="shared" ref="AE50:AF50" si="32">IF(OR(AE$21="",$G50=""),"",AD50)</f>
        <v/>
      </c>
      <c r="AF50" s="1" t="str">
        <f t="shared" si="32"/>
        <v/>
      </c>
    </row>
    <row r="51" ht="12.75" customHeight="1">
      <c r="D51" s="1"/>
      <c r="F51" s="24" t="str">
        <f t="shared" si="13"/>
        <v/>
      </c>
      <c r="G51" s="1"/>
      <c r="H51" s="1" t="str">
        <f t="shared" si="14"/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 t="str">
        <f t="shared" ref="AE51:AF51" si="33">IF(OR(AE$21="",$G51=""),"",AD51)</f>
        <v/>
      </c>
      <c r="AF51" s="1" t="str">
        <f t="shared" si="33"/>
        <v/>
      </c>
    </row>
    <row r="52" ht="12.75" customHeight="1">
      <c r="D52" s="1"/>
      <c r="F52" s="24" t="str">
        <f t="shared" si="13"/>
        <v/>
      </c>
      <c r="G52" s="1"/>
      <c r="H52" s="1" t="str">
        <f t="shared" si="14"/>
        <v/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 t="str">
        <f t="shared" ref="AE52:AF52" si="34">IF(OR(AE$21="",$G52=""),"",AD52)</f>
        <v/>
      </c>
      <c r="AF52" s="1" t="str">
        <f t="shared" si="34"/>
        <v/>
      </c>
    </row>
    <row r="53" ht="12.75" customHeight="1">
      <c r="D53" s="1"/>
      <c r="F53" s="24" t="str">
        <f t="shared" si="13"/>
        <v/>
      </c>
      <c r="G53" s="1"/>
      <c r="H53" s="1" t="str">
        <f t="shared" si="14"/>
        <v/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 t="str">
        <f t="shared" ref="AE53:AF53" si="35">IF(OR(AE$21="",$G53=""),"",AD53)</f>
        <v/>
      </c>
      <c r="AF53" s="1" t="str">
        <f t="shared" si="35"/>
        <v/>
      </c>
    </row>
    <row r="54" ht="12.75" customHeight="1">
      <c r="D54" s="1"/>
      <c r="F54" s="24" t="str">
        <f t="shared" si="13"/>
        <v/>
      </c>
      <c r="G54" s="1"/>
      <c r="H54" s="1" t="str">
        <f t="shared" si="14"/>
        <v/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 t="str">
        <f t="shared" ref="AE54:AF54" si="36">IF(OR(AE$21="",$G54=""),"",AD54)</f>
        <v/>
      </c>
      <c r="AF54" s="1" t="str">
        <f t="shared" si="36"/>
        <v/>
      </c>
    </row>
    <row r="55" ht="12.75" customHeight="1">
      <c r="D55" s="1"/>
      <c r="F55" s="24" t="str">
        <f t="shared" si="13"/>
        <v/>
      </c>
      <c r="G55" s="1"/>
      <c r="H55" s="1" t="str">
        <f t="shared" si="14"/>
        <v/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 t="str">
        <f t="shared" ref="AE55:AF55" si="37">IF(OR(AE$21="",$G55=""),"",AD55)</f>
        <v/>
      </c>
      <c r="AF55" s="1" t="str">
        <f t="shared" si="37"/>
        <v/>
      </c>
    </row>
    <row r="56" ht="12.75" customHeight="1">
      <c r="D56" s="1"/>
      <c r="F56" s="24" t="str">
        <f t="shared" si="13"/>
        <v/>
      </c>
      <c r="G56" s="1"/>
      <c r="H56" s="1" t="str">
        <f t="shared" si="14"/>
        <v/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 t="str">
        <f t="shared" ref="AE56:AF56" si="38">IF(OR(AE$21="",$G56=""),"",AD56)</f>
        <v/>
      </c>
      <c r="AF56" s="1" t="str">
        <f t="shared" si="38"/>
        <v/>
      </c>
    </row>
    <row r="57" ht="12.75" customHeight="1">
      <c r="D57" s="1"/>
      <c r="F57" s="24" t="str">
        <f t="shared" si="13"/>
        <v/>
      </c>
      <c r="G57" s="1"/>
      <c r="H57" s="1" t="str">
        <f t="shared" si="14"/>
        <v/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 t="str">
        <f t="shared" ref="AE57:AF57" si="39">IF(OR(AE$21="",$G57=""),"",AD57)</f>
        <v/>
      </c>
      <c r="AF57" s="1" t="str">
        <f t="shared" si="39"/>
        <v/>
      </c>
    </row>
    <row r="58" ht="12.75" customHeight="1">
      <c r="D58" s="1"/>
      <c r="F58" s="24" t="str">
        <f t="shared" si="13"/>
        <v/>
      </c>
      <c r="G58" s="1"/>
      <c r="H58" s="1" t="str">
        <f t="shared" si="14"/>
        <v/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 t="str">
        <f t="shared" ref="AE58:AF58" si="40">IF(OR(AE$21="",$G58=""),"",AD58)</f>
        <v/>
      </c>
      <c r="AF58" s="1" t="str">
        <f t="shared" si="40"/>
        <v/>
      </c>
    </row>
    <row r="59" ht="12.75" customHeight="1">
      <c r="D59" s="1"/>
      <c r="F59" s="24" t="str">
        <f t="shared" si="13"/>
        <v/>
      </c>
      <c r="G59" s="1"/>
      <c r="H59" s="1" t="str">
        <f t="shared" si="14"/>
        <v/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 t="str">
        <f t="shared" ref="AE59:AF59" si="41">IF(OR(AE$21="",$G59=""),"",AD59)</f>
        <v/>
      </c>
      <c r="AF59" s="1" t="str">
        <f t="shared" si="41"/>
        <v/>
      </c>
    </row>
    <row r="60" ht="12.75" customHeight="1">
      <c r="D60" s="1"/>
      <c r="F60" s="24" t="str">
        <f t="shared" si="13"/>
        <v/>
      </c>
      <c r="G60" s="1"/>
      <c r="H60" s="1" t="str">
        <f t="shared" si="14"/>
        <v/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 t="str">
        <f t="shared" ref="AE60:AF60" si="42">IF(OR(AE$21="",$G60=""),"",AD60)</f>
        <v/>
      </c>
      <c r="AF60" s="1" t="str">
        <f t="shared" si="42"/>
        <v/>
      </c>
    </row>
    <row r="61" ht="12.75" customHeight="1">
      <c r="D61" s="1"/>
      <c r="F61" s="24" t="str">
        <f t="shared" si="13"/>
        <v/>
      </c>
      <c r="G61" s="1"/>
      <c r="H61" s="1" t="str">
        <f t="shared" si="14"/>
        <v/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 t="str">
        <f t="shared" ref="AE61:AF61" si="43">IF(OR(AE$21="",$G61=""),"",AD61)</f>
        <v/>
      </c>
      <c r="AF61" s="1" t="str">
        <f t="shared" si="43"/>
        <v/>
      </c>
    </row>
    <row r="62" ht="12.75" customHeight="1">
      <c r="D62" s="1"/>
      <c r="F62" s="24" t="str">
        <f t="shared" si="13"/>
        <v/>
      </c>
      <c r="G62" s="1"/>
      <c r="H62" s="1" t="str">
        <f t="shared" si="14"/>
        <v/>
      </c>
      <c r="I62" s="1" t="str">
        <f t="shared" ref="I62:AF62" si="44">IF(OR(I$21="",$G62=""),"",H62)</f>
        <v/>
      </c>
      <c r="J62" s="1" t="str">
        <f t="shared" si="44"/>
        <v/>
      </c>
      <c r="K62" s="1" t="str">
        <f t="shared" si="44"/>
        <v/>
      </c>
      <c r="L62" s="1" t="str">
        <f t="shared" si="44"/>
        <v/>
      </c>
      <c r="M62" s="1" t="str">
        <f t="shared" si="44"/>
        <v/>
      </c>
      <c r="N62" s="1" t="str">
        <f t="shared" si="44"/>
        <v/>
      </c>
      <c r="O62" s="1" t="str">
        <f t="shared" si="44"/>
        <v/>
      </c>
      <c r="P62" s="1" t="str">
        <f t="shared" si="44"/>
        <v/>
      </c>
      <c r="Q62" s="1" t="str">
        <f t="shared" si="44"/>
        <v/>
      </c>
      <c r="R62" s="1" t="str">
        <f t="shared" si="44"/>
        <v/>
      </c>
      <c r="S62" s="1" t="str">
        <f t="shared" si="44"/>
        <v/>
      </c>
      <c r="T62" s="1" t="str">
        <f t="shared" si="44"/>
        <v/>
      </c>
      <c r="U62" s="1" t="str">
        <f t="shared" si="44"/>
        <v/>
      </c>
      <c r="V62" s="1" t="str">
        <f t="shared" si="44"/>
        <v/>
      </c>
      <c r="W62" s="1" t="str">
        <f t="shared" si="44"/>
        <v/>
      </c>
      <c r="X62" s="1" t="str">
        <f t="shared" si="44"/>
        <v/>
      </c>
      <c r="Y62" s="1" t="str">
        <f t="shared" si="44"/>
        <v/>
      </c>
      <c r="Z62" s="1" t="str">
        <f t="shared" si="44"/>
        <v/>
      </c>
      <c r="AA62" s="1" t="str">
        <f t="shared" si="44"/>
        <v/>
      </c>
      <c r="AB62" s="1" t="str">
        <f t="shared" si="44"/>
        <v/>
      </c>
      <c r="AC62" s="1" t="str">
        <f t="shared" si="44"/>
        <v/>
      </c>
      <c r="AD62" s="1" t="str">
        <f t="shared" si="44"/>
        <v/>
      </c>
      <c r="AE62" s="1" t="str">
        <f t="shared" si="44"/>
        <v/>
      </c>
      <c r="AF62" s="1" t="str">
        <f t="shared" si="44"/>
        <v/>
      </c>
    </row>
    <row r="63" ht="12.75" customHeight="1">
      <c r="D63" s="1"/>
      <c r="F63" s="24" t="str">
        <f t="shared" si="13"/>
        <v/>
      </c>
      <c r="G63" s="1"/>
      <c r="H63" s="1" t="str">
        <f t="shared" si="14"/>
        <v/>
      </c>
      <c r="I63" s="1" t="str">
        <f t="shared" ref="I63:AF63" si="45">IF(OR(I$21="",$G63=""),"",H63)</f>
        <v/>
      </c>
      <c r="J63" s="1" t="str">
        <f t="shared" si="45"/>
        <v/>
      </c>
      <c r="K63" s="1" t="str">
        <f t="shared" si="45"/>
        <v/>
      </c>
      <c r="L63" s="1" t="str">
        <f t="shared" si="45"/>
        <v/>
      </c>
      <c r="M63" s="1" t="str">
        <f t="shared" si="45"/>
        <v/>
      </c>
      <c r="N63" s="1" t="str">
        <f t="shared" si="45"/>
        <v/>
      </c>
      <c r="O63" s="1" t="str">
        <f t="shared" si="45"/>
        <v/>
      </c>
      <c r="P63" s="1" t="str">
        <f t="shared" si="45"/>
        <v/>
      </c>
      <c r="Q63" s="1" t="str">
        <f t="shared" si="45"/>
        <v/>
      </c>
      <c r="R63" s="1" t="str">
        <f t="shared" si="45"/>
        <v/>
      </c>
      <c r="S63" s="1" t="str">
        <f t="shared" si="45"/>
        <v/>
      </c>
      <c r="T63" s="1" t="str">
        <f t="shared" si="45"/>
        <v/>
      </c>
      <c r="U63" s="1" t="str">
        <f t="shared" si="45"/>
        <v/>
      </c>
      <c r="V63" s="1" t="str">
        <f t="shared" si="45"/>
        <v/>
      </c>
      <c r="W63" s="1" t="str">
        <f t="shared" si="45"/>
        <v/>
      </c>
      <c r="X63" s="1" t="str">
        <f t="shared" si="45"/>
        <v/>
      </c>
      <c r="Y63" s="1" t="str">
        <f t="shared" si="45"/>
        <v/>
      </c>
      <c r="Z63" s="1" t="str">
        <f t="shared" si="45"/>
        <v/>
      </c>
      <c r="AA63" s="1" t="str">
        <f t="shared" si="45"/>
        <v/>
      </c>
      <c r="AB63" s="1" t="str">
        <f t="shared" si="45"/>
        <v/>
      </c>
      <c r="AC63" s="1" t="str">
        <f t="shared" si="45"/>
        <v/>
      </c>
      <c r="AD63" s="1" t="str">
        <f t="shared" si="45"/>
        <v/>
      </c>
      <c r="AE63" s="1" t="str">
        <f t="shared" si="45"/>
        <v/>
      </c>
      <c r="AF63" s="1" t="str">
        <f t="shared" si="45"/>
        <v/>
      </c>
    </row>
    <row r="64" ht="12.75" customHeight="1">
      <c r="D64" s="1"/>
      <c r="F64" s="24" t="s">
        <v>47</v>
      </c>
      <c r="G64" s="1"/>
      <c r="H64" s="1" t="str">
        <f t="shared" si="14"/>
        <v/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 t="str">
        <f t="shared" ref="AE64:AF64" si="46">IF(OR(AE$21="",$G64=""),"",AD64)</f>
        <v/>
      </c>
      <c r="AF64" s="1" t="str">
        <f t="shared" si="46"/>
        <v/>
      </c>
    </row>
    <row r="65" ht="12.75" customHeight="1">
      <c r="D65" s="1"/>
      <c r="F65" s="24" t="s">
        <v>48</v>
      </c>
      <c r="G65" s="1"/>
      <c r="H65" s="1" t="str">
        <f t="shared" si="14"/>
        <v/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 t="str">
        <f t="shared" ref="AE65:AF65" si="47">IF(OR(AE$21="",$G65=""),"",AD65)</f>
        <v/>
      </c>
      <c r="AF65" s="1" t="str">
        <f t="shared" si="47"/>
        <v/>
      </c>
    </row>
    <row r="66" ht="12.75" customHeight="1">
      <c r="D66" s="1"/>
      <c r="F66" s="24" t="s">
        <v>49</v>
      </c>
      <c r="G66" s="1"/>
      <c r="H66" s="1" t="str">
        <f t="shared" si="14"/>
        <v/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ht="12.75" customHeight="1">
      <c r="D67" s="1"/>
      <c r="F67" s="24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ht="12.75" customHeight="1">
      <c r="D68" s="1"/>
      <c r="F68" s="24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ht="12.75" customHeight="1">
      <c r="D69" s="1"/>
      <c r="F69" s="24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ht="12.75" customHeight="1">
      <c r="D70" s="1"/>
      <c r="F70" s="24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ht="12.75" customHeight="1">
      <c r="D71" s="1"/>
      <c r="F71" s="24" t="str">
        <f>IF(C71&lt;&gt;"","Planned","")</f>
        <v/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ht="12.75" customHeight="1">
      <c r="D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ht="12.75" customHeight="1">
      <c r="D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ht="12.75" customHeight="1">
      <c r="D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ht="12.75" customHeight="1">
      <c r="D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ht="12.75" customHeight="1">
      <c r="D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ht="12.75" customHeight="1">
      <c r="D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ht="12.75" customHeight="1">
      <c r="D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ht="12.75" customHeight="1">
      <c r="D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ht="12.75" customHeight="1">
      <c r="D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ht="12.75" customHeight="1">
      <c r="D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ht="12.75" customHeight="1">
      <c r="D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ht="12.75" customHeight="1">
      <c r="D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ht="12.75" customHeight="1">
      <c r="D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ht="12.75" customHeight="1">
      <c r="D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ht="12.75" customHeight="1">
      <c r="D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ht="12.75" customHeight="1">
      <c r="D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ht="12.75" customHeight="1">
      <c r="D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ht="12.75" customHeight="1">
      <c r="D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ht="12.75" customHeight="1">
      <c r="D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ht="12.75" customHeight="1">
      <c r="D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ht="12.75" customHeight="1">
      <c r="D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ht="12.75" customHeight="1">
      <c r="D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ht="12.75" customHeight="1">
      <c r="D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ht="12.75" customHeight="1">
      <c r="D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ht="12.75" customHeight="1">
      <c r="D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ht="12.75" customHeight="1">
      <c r="D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ht="12.75" customHeight="1">
      <c r="D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ht="12.75" customHeight="1">
      <c r="D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ht="12.75" customHeight="1">
      <c r="D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ht="12.75" customHeight="1">
      <c r="D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ht="12.75" customHeight="1">
      <c r="D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ht="12.75" customHeight="1">
      <c r="D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ht="12.75" customHeight="1">
      <c r="D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ht="12.75" customHeight="1">
      <c r="D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ht="12.75" customHeight="1">
      <c r="D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ht="12.75" customHeight="1">
      <c r="D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ht="12.75" customHeight="1">
      <c r="D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ht="12.75" customHeight="1">
      <c r="D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ht="12.75" customHeight="1">
      <c r="D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ht="12.75" customHeight="1">
      <c r="D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ht="12.75" customHeight="1">
      <c r="D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ht="12.75" customHeight="1">
      <c r="D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ht="12.75" customHeight="1">
      <c r="D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ht="12.75" customHeight="1">
      <c r="D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ht="12.75" customHeight="1">
      <c r="D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ht="12.75" customHeight="1">
      <c r="D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ht="12.75" customHeight="1">
      <c r="D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ht="12.75" customHeight="1">
      <c r="D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ht="12.75" customHeight="1">
      <c r="D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ht="12.75" customHeight="1">
      <c r="D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ht="12.75" customHeight="1">
      <c r="D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ht="12.75" customHeight="1">
      <c r="D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ht="12.75" customHeight="1">
      <c r="D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ht="12.75" customHeight="1">
      <c r="D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ht="12.75" customHeight="1">
      <c r="D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ht="12.75" customHeight="1">
      <c r="D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ht="12.75" customHeight="1">
      <c r="D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ht="12.75" customHeight="1">
      <c r="D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ht="12.75" customHeight="1">
      <c r="D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ht="12.75" customHeight="1">
      <c r="D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ht="12.75" customHeight="1">
      <c r="D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ht="12.75" customHeight="1">
      <c r="D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ht="12.75" customHeight="1">
      <c r="D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ht="12.75" customHeight="1">
      <c r="D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ht="12.75" customHeight="1">
      <c r="D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ht="12.75" customHeight="1">
      <c r="D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ht="12.75" customHeight="1">
      <c r="D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ht="12.75" customHeight="1">
      <c r="D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ht="12.75" customHeight="1">
      <c r="D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ht="12.75" customHeight="1">
      <c r="D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ht="12.75" customHeight="1">
      <c r="D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ht="12.75" customHeight="1">
      <c r="D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ht="12.75" customHeight="1">
      <c r="D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ht="12.75" customHeight="1">
      <c r="D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ht="12.75" customHeight="1">
      <c r="D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ht="12.75" customHeight="1">
      <c r="D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ht="12.75" customHeight="1">
      <c r="D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ht="12.75" customHeight="1">
      <c r="D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ht="12.75" customHeight="1">
      <c r="D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ht="12.75" customHeight="1">
      <c r="D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ht="12.75" customHeight="1">
      <c r="D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ht="12.75" customHeight="1">
      <c r="D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ht="12.75" customHeight="1">
      <c r="D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ht="12.75" customHeight="1">
      <c r="D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ht="12.75" customHeight="1">
      <c r="D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ht="12.75" customHeight="1">
      <c r="D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ht="12.75" customHeight="1">
      <c r="D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ht="12.75" customHeight="1">
      <c r="D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ht="12.75" customHeight="1">
      <c r="D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ht="12.75" customHeight="1">
      <c r="D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ht="12.75" customHeight="1">
      <c r="D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ht="12.75" customHeight="1">
      <c r="D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ht="12.75" customHeight="1">
      <c r="D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ht="12.75" customHeight="1">
      <c r="D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ht="12.75" customHeight="1">
      <c r="D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ht="12.75" customHeight="1">
      <c r="D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ht="12.75" customHeight="1">
      <c r="D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ht="12.75" customHeight="1">
      <c r="D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ht="12.75" customHeight="1">
      <c r="D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ht="12.75" customHeight="1">
      <c r="D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ht="12.75" customHeight="1">
      <c r="D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ht="12.75" customHeight="1">
      <c r="D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ht="12.75" customHeight="1">
      <c r="D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ht="12.75" customHeight="1">
      <c r="D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ht="12.75" customHeight="1">
      <c r="D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ht="12.75" customHeight="1">
      <c r="D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ht="12.75" customHeight="1">
      <c r="D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ht="12.75" customHeight="1">
      <c r="D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ht="12.75" customHeight="1">
      <c r="D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ht="12.75" customHeight="1">
      <c r="D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ht="12.75" customHeight="1">
      <c r="D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ht="12.75" customHeight="1">
      <c r="D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ht="12.75" customHeight="1">
      <c r="D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ht="12.75" customHeight="1">
      <c r="D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ht="12.75" customHeight="1">
      <c r="D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ht="12.75" customHeight="1">
      <c r="D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ht="12.75" customHeight="1">
      <c r="D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ht="12.75" customHeight="1">
      <c r="D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ht="12.75" customHeight="1">
      <c r="D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ht="12.75" customHeight="1">
      <c r="D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ht="12.75" customHeight="1">
      <c r="D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ht="12.75" customHeight="1">
      <c r="D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ht="12.75" customHeight="1">
      <c r="D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ht="12.75" customHeight="1">
      <c r="D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ht="12.75" customHeight="1">
      <c r="D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ht="12.75" customHeight="1">
      <c r="D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ht="12.75" customHeight="1">
      <c r="D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ht="12.75" customHeight="1">
      <c r="D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ht="12.75" customHeight="1">
      <c r="D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ht="12.75" customHeight="1">
      <c r="D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ht="12.75" customHeight="1">
      <c r="D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ht="12.75" customHeight="1">
      <c r="D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ht="12.75" customHeight="1">
      <c r="D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ht="12.75" customHeight="1">
      <c r="D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ht="12.75" customHeight="1">
      <c r="D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ht="12.75" customHeight="1">
      <c r="D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ht="12.75" customHeight="1">
      <c r="D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ht="12.75" customHeight="1">
      <c r="D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ht="12.75" customHeight="1">
      <c r="D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ht="12.75" customHeight="1">
      <c r="D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ht="12.75" customHeight="1">
      <c r="D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ht="12.75" customHeight="1">
      <c r="D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ht="12.75" customHeight="1">
      <c r="D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ht="12.75" customHeight="1">
      <c r="D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ht="12.75" customHeight="1">
      <c r="D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ht="12.75" customHeight="1">
      <c r="D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ht="12.75" customHeight="1">
      <c r="D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ht="12.75" customHeight="1">
      <c r="D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ht="12.75" customHeight="1">
      <c r="D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ht="12.75" customHeight="1">
      <c r="D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ht="12.75" customHeight="1">
      <c r="D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ht="12.75" customHeight="1">
      <c r="D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ht="12.75" customHeight="1">
      <c r="D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ht="12.75" customHeight="1">
      <c r="D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ht="12.75" customHeight="1">
      <c r="D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ht="12.75" customHeight="1">
      <c r="D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ht="12.75" customHeight="1">
      <c r="D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ht="12.75" customHeight="1">
      <c r="D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ht="12.75" customHeight="1">
      <c r="D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ht="12.75" customHeight="1">
      <c r="D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ht="12.75" customHeight="1">
      <c r="D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ht="12.75" customHeight="1">
      <c r="D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ht="12.75" customHeight="1">
      <c r="D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ht="12.75" customHeight="1">
      <c r="D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ht="12.75" customHeight="1">
      <c r="D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ht="12.75" customHeight="1">
      <c r="D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ht="12.75" customHeight="1">
      <c r="D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ht="12.75" customHeight="1">
      <c r="D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ht="12.75" customHeight="1">
      <c r="D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ht="12.75" customHeight="1">
      <c r="D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ht="12.75" customHeight="1">
      <c r="D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ht="12.75" customHeight="1">
      <c r="D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ht="12.75" customHeight="1">
      <c r="D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ht="12.75" customHeight="1">
      <c r="D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ht="12.75" customHeight="1">
      <c r="D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ht="12.75" customHeight="1">
      <c r="D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ht="12.75" customHeight="1">
      <c r="D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ht="12.75" customHeight="1">
      <c r="D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ht="12.75" customHeight="1">
      <c r="D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ht="12.75" customHeight="1">
      <c r="D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ht="12.75" customHeight="1">
      <c r="D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ht="12.75" customHeight="1">
      <c r="D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ht="12.75" customHeight="1">
      <c r="D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ht="12.75" customHeight="1">
      <c r="D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ht="12.75" customHeight="1">
      <c r="D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ht="12.75" customHeight="1">
      <c r="D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ht="12.75" customHeight="1">
      <c r="D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ht="12.75" customHeight="1">
      <c r="D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ht="12.75" customHeight="1">
      <c r="D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ht="12.75" customHeight="1">
      <c r="D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ht="12.75" customHeight="1">
      <c r="D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ht="12.75" customHeight="1">
      <c r="D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ht="12.75" customHeight="1">
      <c r="D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ht="12.75" customHeight="1">
      <c r="D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ht="12.75" customHeight="1">
      <c r="D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ht="12.75" customHeight="1">
      <c r="D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ht="12.75" customHeight="1">
      <c r="D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ht="12.75" customHeight="1">
      <c r="D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ht="12.75" customHeight="1">
      <c r="D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ht="12.75" customHeight="1">
      <c r="D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ht="12.75" customHeight="1">
      <c r="D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ht="12.75" customHeight="1">
      <c r="D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ht="12.75" customHeight="1">
      <c r="D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ht="12.75" customHeight="1">
      <c r="D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ht="12.75" customHeight="1">
      <c r="D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ht="12.75" customHeight="1">
      <c r="D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ht="12.75" customHeight="1">
      <c r="D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ht="12.75" customHeight="1">
      <c r="D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ht="12.75" customHeight="1">
      <c r="D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ht="12.75" customHeight="1">
      <c r="D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ht="12.75" customHeight="1">
      <c r="D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ht="12.75" customHeight="1">
      <c r="D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ht="12.75" customHeight="1">
      <c r="D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ht="12.75" customHeight="1">
      <c r="D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ht="12.75" customHeight="1">
      <c r="D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ht="12.75" customHeight="1">
      <c r="D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ht="12.75" customHeight="1">
      <c r="D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ht="12.75" customHeight="1">
      <c r="D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ht="12.75" customHeight="1">
      <c r="D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ht="12.75" customHeight="1">
      <c r="D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ht="12.75" customHeight="1">
      <c r="D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ht="12.75" customHeight="1">
      <c r="D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ht="12.75" customHeight="1">
      <c r="D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ht="12.75" customHeight="1">
      <c r="D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ht="12.75" customHeight="1">
      <c r="D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ht="12.75" customHeight="1">
      <c r="D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ht="12.75" customHeight="1">
      <c r="D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ht="12.75" customHeight="1">
      <c r="D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ht="12.75" customHeight="1">
      <c r="D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ht="12.75" customHeight="1">
      <c r="D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ht="12.75" customHeight="1">
      <c r="D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ht="12.75" customHeight="1">
      <c r="D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ht="12.75" customHeight="1">
      <c r="D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ht="12.75" customHeight="1">
      <c r="D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ht="12.75" customHeight="1">
      <c r="D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ht="12.75" customHeight="1">
      <c r="D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ht="12.75" customHeight="1">
      <c r="D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ht="12.75" customHeight="1">
      <c r="D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ht="12.75" customHeight="1">
      <c r="D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ht="12.75" customHeight="1">
      <c r="D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ht="12.75" customHeight="1">
      <c r="D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ht="12.75" customHeight="1">
      <c r="D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ht="12.75" customHeight="1">
      <c r="D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ht="12.75" customHeight="1">
      <c r="D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ht="12.75" customHeight="1">
      <c r="D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ht="12.75" customHeight="1">
      <c r="D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ht="12.75" customHeight="1">
      <c r="D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ht="12.75" customHeight="1">
      <c r="D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ht="12.75" customHeight="1">
      <c r="D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ht="12.75" customHeight="1">
      <c r="D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ht="12.75" customHeight="1">
      <c r="D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ht="12.75" customHeight="1">
      <c r="D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ht="12.75" customHeight="1">
      <c r="D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ht="12.75" customHeight="1">
      <c r="D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ht="12.75" customHeight="1">
      <c r="D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ht="12.75" customHeight="1">
      <c r="D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ht="12.75" customHeight="1">
      <c r="D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ht="12.75" customHeight="1">
      <c r="D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ht="12.75" customHeight="1">
      <c r="D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ht="12.75" customHeight="1">
      <c r="D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ht="12.75" customHeight="1">
      <c r="D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ht="12.75" customHeight="1">
      <c r="D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ht="12.75" customHeight="1">
      <c r="D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ht="12.75" customHeight="1">
      <c r="D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ht="12.75" customHeight="1">
      <c r="D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ht="12.75" customHeight="1">
      <c r="D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ht="12.75" customHeight="1">
      <c r="D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ht="12.75" customHeight="1">
      <c r="D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ht="12.75" customHeight="1">
      <c r="D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ht="12.75" customHeight="1">
      <c r="D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ht="12.75" customHeight="1">
      <c r="D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ht="12.75" customHeight="1">
      <c r="D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ht="12.75" customHeight="1">
      <c r="D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ht="12.75" customHeight="1">
      <c r="D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ht="12.75" customHeight="1">
      <c r="D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ht="12.75" customHeight="1">
      <c r="D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ht="12.75" customHeight="1">
      <c r="D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ht="12.75" customHeight="1">
      <c r="D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ht="12.75" customHeight="1">
      <c r="D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ht="12.75" customHeight="1">
      <c r="D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ht="12.75" customHeight="1">
      <c r="D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ht="12.75" customHeight="1">
      <c r="D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ht="12.75" customHeight="1">
      <c r="D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ht="12.75" customHeight="1">
      <c r="D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ht="12.75" customHeight="1">
      <c r="D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ht="12.75" customHeight="1">
      <c r="D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ht="12.75" customHeight="1">
      <c r="D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ht="12.75" customHeight="1">
      <c r="D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ht="12.75" customHeight="1">
      <c r="D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ht="12.75" customHeight="1">
      <c r="D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ht="12.75" customHeight="1">
      <c r="D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ht="12.75" customHeight="1">
      <c r="D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ht="12.75" customHeight="1">
      <c r="D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ht="12.75" customHeight="1">
      <c r="D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ht="12.75" customHeight="1">
      <c r="D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ht="12.75" customHeight="1">
      <c r="D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ht="12.75" customHeight="1">
      <c r="D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ht="12.75" customHeight="1">
      <c r="D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ht="12.75" customHeight="1">
      <c r="D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ht="12.75" customHeight="1">
      <c r="D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ht="12.75" customHeight="1">
      <c r="D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ht="12.75" customHeight="1">
      <c r="D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ht="12.75" customHeight="1">
      <c r="D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ht="12.75" customHeight="1">
      <c r="D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ht="12.75" customHeight="1">
      <c r="D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ht="12.75" customHeight="1">
      <c r="D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ht="12.75" customHeight="1">
      <c r="D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ht="12.75" customHeight="1">
      <c r="D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ht="12.75" customHeight="1">
      <c r="D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ht="12.75" customHeight="1">
      <c r="D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ht="12.75" customHeight="1">
      <c r="D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ht="12.75" customHeight="1">
      <c r="D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ht="12.75" customHeight="1">
      <c r="D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ht="12.75" customHeight="1">
      <c r="D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ht="12.75" customHeight="1">
      <c r="D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ht="12.75" customHeight="1">
      <c r="D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ht="12.75" customHeight="1">
      <c r="D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ht="12.75" customHeight="1">
      <c r="D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ht="12.75" customHeight="1">
      <c r="D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ht="12.75" customHeight="1">
      <c r="D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ht="12.75" customHeight="1">
      <c r="D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ht="12.75" customHeight="1">
      <c r="D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ht="12.75" customHeight="1">
      <c r="D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ht="12.75" customHeight="1">
      <c r="D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ht="12.75" customHeight="1">
      <c r="D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ht="12.75" customHeight="1">
      <c r="D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ht="12.75" customHeight="1">
      <c r="D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ht="12.75" customHeight="1">
      <c r="D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ht="12.75" customHeight="1">
      <c r="D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ht="12.75" customHeight="1">
      <c r="D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ht="12.75" customHeight="1">
      <c r="D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ht="12.75" customHeight="1">
      <c r="D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ht="12.75" customHeight="1">
      <c r="D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ht="12.75" customHeight="1">
      <c r="D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ht="12.75" customHeight="1">
      <c r="D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ht="12.75" customHeight="1">
      <c r="D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ht="12.75" customHeight="1">
      <c r="D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ht="12.75" customHeight="1">
      <c r="D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ht="12.75" customHeight="1">
      <c r="D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ht="12.75" customHeight="1">
      <c r="D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ht="12.75" customHeight="1">
      <c r="D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ht="12.75" customHeight="1">
      <c r="D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ht="12.75" customHeight="1">
      <c r="D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ht="12.75" customHeight="1">
      <c r="D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ht="12.75" customHeight="1">
      <c r="D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ht="12.75" customHeight="1">
      <c r="D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ht="12.75" customHeight="1">
      <c r="D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ht="12.75" customHeight="1">
      <c r="D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ht="12.75" customHeight="1">
      <c r="D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ht="12.75" customHeight="1">
      <c r="D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ht="12.75" customHeight="1">
      <c r="D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ht="12.75" customHeight="1">
      <c r="D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ht="12.75" customHeight="1">
      <c r="D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ht="12.75" customHeight="1">
      <c r="D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ht="12.75" customHeight="1">
      <c r="D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ht="12.75" customHeight="1">
      <c r="D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ht="12.75" customHeight="1">
      <c r="D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ht="12.75" customHeight="1">
      <c r="D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ht="12.75" customHeight="1">
      <c r="D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ht="12.75" customHeight="1">
      <c r="D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ht="12.75" customHeight="1">
      <c r="D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ht="12.75" customHeight="1">
      <c r="D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ht="12.75" customHeight="1">
      <c r="D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ht="12.75" customHeight="1">
      <c r="D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ht="12.75" customHeight="1">
      <c r="D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ht="12.75" customHeight="1">
      <c r="D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ht="12.75" customHeight="1">
      <c r="D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ht="12.75" customHeight="1">
      <c r="D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ht="12.75" customHeight="1">
      <c r="D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ht="12.75" customHeight="1">
      <c r="D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ht="12.75" customHeight="1">
      <c r="D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ht="12.75" customHeight="1">
      <c r="D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ht="12.75" customHeight="1">
      <c r="D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ht="12.75" customHeight="1">
      <c r="D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ht="12.75" customHeight="1">
      <c r="D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ht="12.75" customHeight="1">
      <c r="D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ht="12.75" customHeight="1">
      <c r="D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ht="12.75" customHeight="1">
      <c r="D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ht="12.75" customHeight="1">
      <c r="D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ht="12.75" customHeight="1">
      <c r="D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ht="12.75" customHeight="1">
      <c r="D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ht="12.75" customHeight="1">
      <c r="D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ht="12.75" customHeight="1">
      <c r="D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ht="12.75" customHeight="1">
      <c r="D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ht="12.75" customHeight="1">
      <c r="D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ht="12.75" customHeight="1">
      <c r="D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ht="12.75" customHeight="1">
      <c r="D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ht="12.75" customHeight="1">
      <c r="D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ht="12.75" customHeight="1">
      <c r="D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ht="12.75" customHeight="1">
      <c r="D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ht="12.75" customHeight="1">
      <c r="D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ht="12.75" customHeight="1">
      <c r="D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ht="12.75" customHeight="1">
      <c r="D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ht="12.75" customHeight="1">
      <c r="D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ht="12.75" customHeight="1">
      <c r="D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ht="12.75" customHeight="1">
      <c r="D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ht="12.75" customHeight="1">
      <c r="D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ht="12.75" customHeight="1">
      <c r="D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ht="12.75" customHeight="1">
      <c r="D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ht="12.75" customHeight="1">
      <c r="D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ht="12.75" customHeight="1">
      <c r="D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ht="12.75" customHeight="1">
      <c r="D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ht="12.75" customHeight="1">
      <c r="D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ht="12.75" customHeight="1">
      <c r="D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ht="12.75" customHeight="1">
      <c r="D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ht="12.75" customHeight="1">
      <c r="D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ht="12.75" customHeight="1">
      <c r="D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ht="12.75" customHeight="1">
      <c r="D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ht="12.75" customHeight="1">
      <c r="D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ht="12.75" customHeight="1">
      <c r="D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ht="12.75" customHeight="1">
      <c r="D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ht="12.75" customHeight="1">
      <c r="D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ht="12.75" customHeight="1">
      <c r="D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ht="12.75" customHeight="1">
      <c r="D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ht="12.75" customHeight="1">
      <c r="D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ht="12.75" customHeight="1">
      <c r="D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ht="12.75" customHeight="1">
      <c r="D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ht="12.75" customHeight="1">
      <c r="D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ht="12.75" customHeight="1">
      <c r="D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ht="12.75" customHeight="1">
      <c r="D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ht="12.75" customHeight="1">
      <c r="D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ht="12.75" customHeight="1">
      <c r="D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ht="12.75" customHeight="1">
      <c r="D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ht="12.75" customHeight="1">
      <c r="D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ht="12.75" customHeight="1">
      <c r="D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ht="12.75" customHeight="1">
      <c r="D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ht="12.75" customHeight="1">
      <c r="D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ht="12.75" customHeight="1">
      <c r="D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ht="12.75" customHeight="1">
      <c r="D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ht="12.75" customHeight="1">
      <c r="D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ht="12.75" customHeight="1">
      <c r="D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ht="12.75" customHeight="1">
      <c r="D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ht="12.75" customHeight="1">
      <c r="D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ht="12.75" customHeight="1">
      <c r="D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ht="12.75" customHeight="1">
      <c r="D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ht="12.75" customHeight="1">
      <c r="D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ht="12.75" customHeight="1">
      <c r="D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ht="12.75" customHeight="1">
      <c r="D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ht="12.75" customHeight="1">
      <c r="D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ht="12.75" customHeight="1">
      <c r="D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ht="12.75" customHeight="1">
      <c r="D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ht="12.75" customHeight="1">
      <c r="D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ht="12.75" customHeight="1">
      <c r="D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ht="12.75" customHeight="1">
      <c r="D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ht="12.75" customHeight="1">
      <c r="D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ht="12.75" customHeight="1">
      <c r="D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ht="12.75" customHeight="1">
      <c r="D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ht="12.75" customHeight="1">
      <c r="D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ht="12.75" customHeight="1">
      <c r="D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ht="12.75" customHeight="1">
      <c r="D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ht="12.75" customHeight="1">
      <c r="D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ht="12.75" customHeight="1">
      <c r="D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ht="12.75" customHeight="1">
      <c r="D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ht="12.75" customHeight="1">
      <c r="D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ht="12.75" customHeight="1">
      <c r="D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ht="12.75" customHeight="1">
      <c r="D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ht="12.75" customHeight="1">
      <c r="D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ht="12.75" customHeight="1">
      <c r="D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ht="12.75" customHeight="1">
      <c r="D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ht="12.75" customHeight="1">
      <c r="D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ht="12.75" customHeight="1">
      <c r="D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ht="12.75" customHeight="1">
      <c r="D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ht="12.75" customHeight="1">
      <c r="D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ht="12.75" customHeight="1">
      <c r="D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ht="12.75" customHeight="1">
      <c r="D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ht="12.75" customHeight="1">
      <c r="D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ht="12.75" customHeight="1">
      <c r="D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ht="12.75" customHeight="1">
      <c r="D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ht="12.75" customHeight="1">
      <c r="D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ht="12.75" customHeight="1">
      <c r="D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ht="12.75" customHeight="1">
      <c r="D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ht="12.75" customHeight="1">
      <c r="D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ht="12.75" customHeight="1">
      <c r="D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ht="12.75" customHeight="1">
      <c r="D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ht="12.75" customHeight="1">
      <c r="D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ht="12.75" customHeight="1">
      <c r="D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ht="12.75" customHeight="1">
      <c r="D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ht="12.75" customHeight="1">
      <c r="D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ht="12.75" customHeight="1">
      <c r="D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ht="12.75" customHeight="1">
      <c r="D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ht="12.75" customHeight="1">
      <c r="D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ht="12.75" customHeight="1">
      <c r="D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ht="12.75" customHeight="1">
      <c r="D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ht="12.75" customHeight="1">
      <c r="D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ht="12.75" customHeight="1">
      <c r="D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ht="12.75" customHeight="1">
      <c r="D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ht="12.75" customHeight="1">
      <c r="D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ht="12.75" customHeight="1">
      <c r="D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ht="12.75" customHeight="1">
      <c r="D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ht="12.75" customHeight="1">
      <c r="D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ht="12.75" customHeight="1">
      <c r="D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ht="12.75" customHeight="1">
      <c r="D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ht="12.75" customHeight="1">
      <c r="D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ht="12.75" customHeight="1">
      <c r="D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ht="12.75" customHeight="1">
      <c r="D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ht="12.75" customHeight="1">
      <c r="D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ht="12.75" customHeight="1">
      <c r="D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ht="12.75" customHeight="1">
      <c r="D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ht="12.75" customHeight="1">
      <c r="D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ht="12.75" customHeight="1">
      <c r="D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ht="12.75" customHeight="1">
      <c r="D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ht="12.75" customHeight="1">
      <c r="D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ht="12.75" customHeight="1">
      <c r="D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ht="12.75" customHeight="1">
      <c r="D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ht="12.75" customHeight="1">
      <c r="D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ht="12.75" customHeight="1">
      <c r="D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ht="12.75" customHeight="1">
      <c r="D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ht="12.75" customHeight="1">
      <c r="D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ht="12.75" customHeight="1">
      <c r="D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ht="12.75" customHeight="1">
      <c r="D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ht="12.75" customHeight="1">
      <c r="D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ht="12.75" customHeight="1">
      <c r="D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ht="12.75" customHeight="1">
      <c r="D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ht="12.75" customHeight="1">
      <c r="D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ht="12.75" customHeight="1">
      <c r="D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ht="12.75" customHeight="1">
      <c r="D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ht="12.75" customHeight="1">
      <c r="D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ht="12.75" customHeight="1">
      <c r="D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ht="12.75" customHeight="1">
      <c r="D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ht="12.75" customHeight="1">
      <c r="D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ht="12.75" customHeight="1">
      <c r="D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ht="12.75" customHeight="1">
      <c r="D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ht="12.75" customHeight="1">
      <c r="D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ht="12.75" customHeight="1">
      <c r="D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ht="12.75" customHeight="1">
      <c r="D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ht="12.75" customHeight="1">
      <c r="D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ht="12.75" customHeight="1">
      <c r="D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ht="12.75" customHeight="1">
      <c r="D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ht="12.75" customHeight="1">
      <c r="D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ht="12.75" customHeight="1">
      <c r="D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ht="12.75" customHeight="1">
      <c r="D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ht="12.75" customHeight="1">
      <c r="D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ht="12.75" customHeight="1">
      <c r="D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ht="12.75" customHeight="1">
      <c r="D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ht="12.75" customHeight="1">
      <c r="D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ht="12.75" customHeight="1">
      <c r="D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ht="12.75" customHeight="1">
      <c r="D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ht="12.75" customHeight="1">
      <c r="D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ht="12.75" customHeight="1">
      <c r="D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ht="12.75" customHeight="1">
      <c r="D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ht="12.75" customHeight="1">
      <c r="D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ht="12.75" customHeight="1">
      <c r="D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ht="12.75" customHeight="1">
      <c r="D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ht="12.75" customHeight="1">
      <c r="D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ht="12.75" customHeight="1">
      <c r="D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ht="12.75" customHeight="1">
      <c r="D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ht="12.75" customHeight="1">
      <c r="D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ht="12.75" customHeight="1">
      <c r="D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ht="12.75" customHeight="1">
      <c r="D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ht="12.75" customHeight="1">
      <c r="D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ht="12.75" customHeight="1">
      <c r="D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ht="12.75" customHeight="1">
      <c r="D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ht="12.75" customHeight="1">
      <c r="D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ht="12.75" customHeight="1">
      <c r="D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ht="12.75" customHeight="1">
      <c r="D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ht="12.75" customHeight="1">
      <c r="D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ht="12.75" customHeight="1">
      <c r="D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ht="12.75" customHeight="1">
      <c r="D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ht="12.75" customHeight="1">
      <c r="D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ht="12.75" customHeight="1">
      <c r="D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ht="12.75" customHeight="1">
      <c r="D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ht="12.75" customHeight="1">
      <c r="D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ht="12.75" customHeight="1">
      <c r="D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ht="12.75" customHeight="1">
      <c r="D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ht="12.75" customHeight="1">
      <c r="D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ht="12.75" customHeight="1">
      <c r="D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ht="12.75" customHeight="1">
      <c r="D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ht="12.75" customHeight="1">
      <c r="D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ht="12.75" customHeight="1">
      <c r="D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ht="12.75" customHeight="1">
      <c r="D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ht="12.75" customHeight="1">
      <c r="D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ht="12.75" customHeight="1">
      <c r="D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ht="12.75" customHeight="1">
      <c r="D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ht="12.75" customHeight="1">
      <c r="D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ht="12.75" customHeight="1">
      <c r="D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ht="12.75" customHeight="1">
      <c r="D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ht="12.75" customHeight="1">
      <c r="D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ht="12.75" customHeight="1">
      <c r="D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ht="12.75" customHeight="1">
      <c r="D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ht="12.75" customHeight="1">
      <c r="D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ht="12.75" customHeight="1">
      <c r="D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ht="12.75" customHeight="1">
      <c r="D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ht="12.75" customHeight="1">
      <c r="D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ht="12.75" customHeight="1">
      <c r="D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ht="12.75" customHeight="1">
      <c r="D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ht="12.75" customHeight="1">
      <c r="D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ht="12.75" customHeight="1">
      <c r="D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ht="12.75" customHeight="1">
      <c r="D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ht="12.75" customHeight="1">
      <c r="D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ht="12.75" customHeight="1">
      <c r="D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ht="12.75" customHeight="1">
      <c r="D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ht="12.75" customHeight="1">
      <c r="D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ht="12.75" customHeight="1">
      <c r="D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ht="12.75" customHeight="1">
      <c r="D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ht="12.75" customHeight="1">
      <c r="D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ht="12.75" customHeight="1">
      <c r="D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ht="12.75" customHeight="1">
      <c r="D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ht="12.75" customHeight="1">
      <c r="D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ht="12.75" customHeight="1">
      <c r="D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ht="12.75" customHeight="1">
      <c r="D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ht="12.75" customHeight="1">
      <c r="D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ht="12.75" customHeight="1">
      <c r="D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ht="12.75" customHeight="1">
      <c r="D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ht="12.75" customHeight="1">
      <c r="D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ht="12.75" customHeight="1">
      <c r="D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ht="12.75" customHeight="1">
      <c r="D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ht="12.75" customHeight="1">
      <c r="D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ht="12.75" customHeight="1">
      <c r="D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ht="12.75" customHeight="1">
      <c r="D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ht="12.75" customHeight="1">
      <c r="D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ht="12.75" customHeight="1">
      <c r="D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ht="12.75" customHeight="1">
      <c r="D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ht="12.75" customHeight="1">
      <c r="D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ht="12.75" customHeight="1">
      <c r="D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ht="12.75" customHeight="1">
      <c r="D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ht="12.75" customHeight="1">
      <c r="D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ht="12.75" customHeight="1">
      <c r="D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ht="12.75" customHeight="1">
      <c r="D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ht="12.75" customHeight="1">
      <c r="D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ht="12.75" customHeight="1">
      <c r="D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ht="12.75" customHeight="1">
      <c r="D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ht="12.75" customHeight="1">
      <c r="D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ht="12.75" customHeight="1">
      <c r="D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ht="12.75" customHeight="1">
      <c r="D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ht="12.75" customHeight="1">
      <c r="D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ht="12.75" customHeight="1">
      <c r="D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ht="12.75" customHeight="1">
      <c r="D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ht="12.75" customHeight="1">
      <c r="D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ht="12.75" customHeight="1">
      <c r="D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ht="12.75" customHeight="1">
      <c r="D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ht="12.75" customHeight="1">
      <c r="D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ht="12.75" customHeight="1">
      <c r="D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ht="12.75" customHeight="1">
      <c r="D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ht="12.75" customHeight="1">
      <c r="D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ht="12.75" customHeight="1">
      <c r="D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ht="12.75" customHeight="1">
      <c r="D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ht="12.75" customHeight="1">
      <c r="D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ht="12.75" customHeight="1">
      <c r="D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ht="12.75" customHeight="1">
      <c r="D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ht="12.75" customHeight="1">
      <c r="D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ht="12.75" customHeight="1">
      <c r="D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ht="12.75" customHeight="1">
      <c r="D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ht="12.75" customHeight="1">
      <c r="D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ht="12.75" customHeight="1">
      <c r="D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ht="12.75" customHeight="1">
      <c r="D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ht="12.75" customHeight="1">
      <c r="D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ht="12.75" customHeight="1">
      <c r="D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ht="12.75" customHeight="1">
      <c r="D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ht="12.75" customHeight="1">
      <c r="D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ht="12.75" customHeight="1">
      <c r="D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ht="12.75" customHeight="1">
      <c r="D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ht="12.75" customHeight="1">
      <c r="D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ht="12.75" customHeight="1">
      <c r="D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ht="12.75" customHeight="1">
      <c r="D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ht="12.75" customHeight="1">
      <c r="D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ht="12.75" customHeight="1">
      <c r="D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ht="12.75" customHeight="1">
      <c r="D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ht="12.75" customHeight="1">
      <c r="D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ht="12.75" customHeight="1">
      <c r="D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ht="12.75" customHeight="1">
      <c r="D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ht="12.75" customHeight="1">
      <c r="D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ht="12.75" customHeight="1">
      <c r="D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ht="12.75" customHeight="1">
      <c r="D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ht="12.75" customHeight="1">
      <c r="D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ht="12.75" customHeight="1">
      <c r="D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ht="12.75" customHeight="1">
      <c r="D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ht="12.75" customHeight="1">
      <c r="D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ht="12.75" customHeight="1">
      <c r="D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ht="12.75" customHeight="1">
      <c r="D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ht="12.75" customHeight="1">
      <c r="D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ht="12.75" customHeight="1">
      <c r="D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ht="12.75" customHeight="1">
      <c r="D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ht="12.75" customHeight="1">
      <c r="D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ht="12.75" customHeight="1">
      <c r="D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ht="12.75" customHeight="1">
      <c r="D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ht="12.75" customHeight="1">
      <c r="D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ht="12.75" customHeight="1">
      <c r="D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ht="12.75" customHeight="1">
      <c r="D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ht="12.75" customHeight="1">
      <c r="D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ht="12.75" customHeight="1">
      <c r="D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ht="12.75" customHeight="1">
      <c r="D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ht="12.75" customHeight="1">
      <c r="D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ht="12.75" customHeight="1">
      <c r="D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ht="12.75" customHeight="1">
      <c r="D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ht="12.75" customHeight="1">
      <c r="D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ht="12.75" customHeight="1">
      <c r="D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ht="12.75" customHeight="1">
      <c r="D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ht="12.75" customHeight="1">
      <c r="D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ht="12.75" customHeight="1">
      <c r="D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ht="12.75" customHeight="1">
      <c r="D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ht="12.75" customHeight="1">
      <c r="D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ht="12.75" customHeight="1">
      <c r="D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ht="12.75" customHeight="1">
      <c r="D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ht="12.75" customHeight="1">
      <c r="D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ht="12.75" customHeight="1">
      <c r="D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ht="12.75" customHeight="1">
      <c r="D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ht="12.75" customHeight="1">
      <c r="D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ht="12.75" customHeight="1">
      <c r="D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ht="12.75" customHeight="1">
      <c r="D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ht="12.75" customHeight="1">
      <c r="D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ht="12.75" customHeight="1">
      <c r="D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ht="12.75" customHeight="1">
      <c r="D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ht="12.75" customHeight="1">
      <c r="D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ht="12.75" customHeight="1">
      <c r="D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ht="12.75" customHeight="1">
      <c r="D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ht="12.75" customHeight="1">
      <c r="D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ht="12.75" customHeight="1">
      <c r="D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ht="12.75" customHeight="1">
      <c r="D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ht="12.75" customHeight="1">
      <c r="D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ht="12.75" customHeight="1">
      <c r="D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ht="12.75" customHeight="1">
      <c r="D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ht="12.75" customHeight="1">
      <c r="D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ht="12.75" customHeight="1">
      <c r="D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ht="12.75" customHeight="1">
      <c r="D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ht="12.75" customHeight="1">
      <c r="D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ht="12.75" customHeight="1">
      <c r="D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ht="12.75" customHeight="1">
      <c r="D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ht="12.75" customHeight="1">
      <c r="D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ht="12.75" customHeight="1">
      <c r="D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ht="12.75" customHeight="1">
      <c r="D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ht="12.75" customHeight="1">
      <c r="D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ht="12.75" customHeight="1">
      <c r="D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ht="12.75" customHeight="1">
      <c r="D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ht="12.75" customHeight="1">
      <c r="D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ht="12.75" customHeight="1">
      <c r="D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ht="12.75" customHeight="1">
      <c r="D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ht="12.75" customHeight="1">
      <c r="D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ht="12.75" customHeight="1">
      <c r="D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ht="12.75" customHeight="1">
      <c r="D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ht="12.75" customHeight="1">
      <c r="D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ht="12.75" customHeight="1">
      <c r="D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ht="12.75" customHeight="1">
      <c r="D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ht="12.75" customHeight="1">
      <c r="D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ht="12.75" customHeight="1">
      <c r="D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ht="12.75" customHeight="1">
      <c r="D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ht="12.75" customHeight="1">
      <c r="D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ht="12.75" customHeight="1">
      <c r="D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ht="12.75" customHeight="1">
      <c r="D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ht="12.75" customHeight="1">
      <c r="D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ht="12.75" customHeight="1">
      <c r="D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ht="12.75" customHeight="1">
      <c r="D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ht="12.75" customHeight="1">
      <c r="D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ht="12.75" customHeight="1">
      <c r="D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ht="12.75" customHeight="1">
      <c r="D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ht="12.75" customHeight="1">
      <c r="D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ht="12.75" customHeight="1">
      <c r="D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ht="12.75" customHeight="1">
      <c r="D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ht="12.75" customHeight="1">
      <c r="D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ht="12.75" customHeight="1">
      <c r="D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ht="12.75" customHeight="1">
      <c r="D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ht="12.75" customHeight="1">
      <c r="D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ht="12.75" customHeight="1">
      <c r="D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ht="12.75" customHeight="1">
      <c r="D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ht="12.75" customHeight="1">
      <c r="D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ht="12.75" customHeight="1">
      <c r="D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ht="12.75" customHeight="1">
      <c r="D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ht="12.75" customHeight="1">
      <c r="D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ht="12.75" customHeight="1">
      <c r="D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ht="12.75" customHeight="1">
      <c r="D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ht="12.75" customHeight="1">
      <c r="D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ht="12.75" customHeight="1">
      <c r="D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ht="12.75" customHeight="1">
      <c r="D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ht="12.75" customHeight="1">
      <c r="D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ht="12.75" customHeight="1">
      <c r="D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ht="12.75" customHeight="1">
      <c r="D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ht="12.75" customHeight="1">
      <c r="D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ht="12.75" customHeight="1">
      <c r="D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ht="12.75" customHeight="1">
      <c r="D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ht="12.75" customHeight="1">
      <c r="D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ht="12.75" customHeight="1">
      <c r="D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ht="12.75" customHeight="1">
      <c r="D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ht="12.75" customHeight="1">
      <c r="D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ht="12.75" customHeight="1">
      <c r="D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ht="12.75" customHeight="1">
      <c r="D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ht="12.75" customHeight="1">
      <c r="D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ht="12.75" customHeight="1">
      <c r="D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ht="12.75" customHeight="1">
      <c r="D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ht="12.75" customHeight="1">
      <c r="D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ht="12.75" customHeight="1">
      <c r="D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ht="12.75" customHeight="1">
      <c r="D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ht="12.75" customHeight="1">
      <c r="D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ht="12.75" customHeight="1">
      <c r="D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ht="12.75" customHeight="1">
      <c r="D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ht="12.75" customHeight="1">
      <c r="D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ht="12.75" customHeight="1">
      <c r="D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ht="12.75" customHeight="1">
      <c r="D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ht="12.75" customHeight="1">
      <c r="D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ht="12.75" customHeight="1">
      <c r="D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ht="12.75" customHeight="1">
      <c r="D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ht="12.75" customHeight="1">
      <c r="D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ht="12.75" customHeight="1">
      <c r="D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ht="12.75" customHeight="1">
      <c r="D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ht="12.75" customHeight="1">
      <c r="D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ht="12.75" customHeight="1">
      <c r="D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ht="12.75" customHeight="1">
      <c r="D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ht="12.75" customHeight="1">
      <c r="D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ht="12.75" customHeight="1">
      <c r="D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ht="12.75" customHeight="1">
      <c r="D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ht="12.75" customHeight="1">
      <c r="D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ht="12.75" customHeight="1">
      <c r="D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ht="12.75" customHeight="1">
      <c r="D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ht="12.75" customHeight="1">
      <c r="D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ht="12.75" customHeight="1">
      <c r="D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ht="12.75" customHeight="1">
      <c r="D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ht="12.75" customHeight="1">
      <c r="D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ht="12.75" customHeight="1">
      <c r="D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ht="12.75" customHeight="1">
      <c r="D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ht="12.75" customHeight="1">
      <c r="D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ht="12.75" customHeight="1">
      <c r="D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ht="12.75" customHeight="1">
      <c r="D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ht="12.75" customHeight="1">
      <c r="D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ht="12.75" customHeight="1">
      <c r="D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ht="12.75" customHeight="1">
      <c r="D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ht="12.75" customHeight="1">
      <c r="D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ht="12.75" customHeight="1">
      <c r="D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ht="12.75" customHeight="1">
      <c r="D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ht="12.75" customHeight="1">
      <c r="D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ht="12.75" customHeight="1">
      <c r="D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ht="12.75" customHeight="1">
      <c r="D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ht="12.75" customHeight="1">
      <c r="D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ht="12.75" customHeight="1">
      <c r="D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ht="12.75" customHeight="1">
      <c r="D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ht="12.75" customHeight="1">
      <c r="D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ht="12.75" customHeight="1">
      <c r="D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ht="12.75" customHeight="1">
      <c r="D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ht="12.75" customHeight="1">
      <c r="D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ht="12.75" customHeight="1">
      <c r="D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ht="12.75" customHeight="1">
      <c r="D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ht="12.75" customHeight="1">
      <c r="D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ht="12.75" customHeight="1">
      <c r="D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ht="12.75" customHeight="1">
      <c r="D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ht="12.75" customHeight="1">
      <c r="D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ht="12.75" customHeight="1">
      <c r="D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ht="12.75" customHeight="1">
      <c r="D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ht="12.75" customHeight="1">
      <c r="D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ht="12.75" customHeight="1">
      <c r="D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ht="12.75" customHeight="1">
      <c r="D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ht="12.75" customHeight="1">
      <c r="D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ht="12.75" customHeight="1">
      <c r="D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ht="12.75" customHeight="1">
      <c r="D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ht="12.75" customHeight="1">
      <c r="D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ht="12.75" customHeight="1">
      <c r="D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ht="12.75" customHeight="1">
      <c r="D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ht="12.75" customHeight="1">
      <c r="D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ht="12.75" customHeight="1">
      <c r="D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ht="12.75" customHeight="1">
      <c r="D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ht="12.75" customHeight="1">
      <c r="D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ht="12.75" customHeight="1">
      <c r="D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ht="12.75" customHeight="1">
      <c r="D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ht="12.75" customHeight="1">
      <c r="D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ht="12.75" customHeight="1">
      <c r="D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ht="12.75" customHeight="1">
      <c r="D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ht="12.75" customHeight="1">
      <c r="D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ht="12.75" customHeight="1">
      <c r="D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ht="12.75" customHeight="1">
      <c r="D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ht="12.75" customHeight="1">
      <c r="D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ht="12.75" customHeight="1">
      <c r="D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ht="12.75" customHeight="1">
      <c r="D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ht="12.75" customHeight="1">
      <c r="D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ht="12.75" customHeight="1">
      <c r="D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ht="12.75" customHeight="1">
      <c r="D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ht="12.75" customHeight="1">
      <c r="D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ht="12.75" customHeight="1">
      <c r="D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ht="12.75" customHeight="1">
      <c r="D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ht="12.75" customHeight="1">
      <c r="D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ht="12.75" customHeight="1">
      <c r="D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ht="12.75" customHeight="1">
      <c r="D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ht="12.75" customHeight="1">
      <c r="D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ht="12.75" customHeight="1">
      <c r="D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ht="12.75" customHeight="1">
      <c r="D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ht="12.75" customHeight="1">
      <c r="D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ht="12.75" customHeight="1">
      <c r="D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ht="12.75" customHeight="1">
      <c r="D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ht="12.75" customHeight="1">
      <c r="D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ht="12.75" customHeight="1">
      <c r="D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ht="12.75" customHeight="1">
      <c r="D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ht="12.75" customHeight="1">
      <c r="D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ht="12.75" customHeight="1">
      <c r="D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ht="12.75" customHeight="1">
      <c r="D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ht="12.75" customHeight="1">
      <c r="D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ht="12.75" customHeight="1">
      <c r="D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ht="12.75" customHeight="1">
      <c r="D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ht="12.75" customHeight="1">
      <c r="D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ht="12.75" customHeight="1">
      <c r="D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ht="12.75" customHeight="1">
      <c r="D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ht="12.75" customHeight="1">
      <c r="D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ht="12.75" customHeight="1">
      <c r="D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ht="12.75" customHeight="1">
      <c r="D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ht="12.75" customHeight="1">
      <c r="D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ht="12.75" customHeight="1">
      <c r="D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ht="12.75" customHeight="1">
      <c r="D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ht="12.75" customHeight="1">
      <c r="D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ht="12.75" customHeight="1">
      <c r="D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ht="12.75" customHeight="1">
      <c r="D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ht="12.75" customHeight="1">
      <c r="D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ht="12.75" customHeight="1">
      <c r="D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ht="12.75" customHeight="1">
      <c r="D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ht="12.75" customHeight="1">
      <c r="D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ht="12.75" customHeight="1">
      <c r="D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ht="12.75" customHeight="1">
      <c r="D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ht="12.75" customHeight="1">
      <c r="D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ht="12.75" customHeight="1">
      <c r="D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ht="12.75" customHeight="1">
      <c r="D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ht="12.75" customHeight="1">
      <c r="D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ht="12.75" customHeight="1">
      <c r="D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ht="12.75" customHeight="1">
      <c r="D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ht="12.75" customHeight="1">
      <c r="D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ht="12.75" customHeight="1">
      <c r="D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ht="12.75" customHeight="1">
      <c r="D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ht="12.75" customHeight="1">
      <c r="D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ht="12.75" customHeight="1">
      <c r="D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ht="12.75" customHeight="1">
      <c r="D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ht="12.75" customHeight="1">
      <c r="D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ht="12.75" customHeight="1">
      <c r="D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ht="12.75" customHeight="1">
      <c r="D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ht="12.75" customHeight="1">
      <c r="D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ht="12.75" customHeight="1">
      <c r="D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ht="12.75" customHeight="1">
      <c r="D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ht="12.75" customHeight="1">
      <c r="D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ht="12.75" customHeight="1">
      <c r="D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ht="12.75" customHeight="1">
      <c r="D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ht="12.75" customHeight="1">
      <c r="D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ht="12.75" customHeight="1">
      <c r="D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ht="12.75" customHeight="1">
      <c r="D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ht="12.75" customHeight="1">
      <c r="D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ht="12.75" customHeight="1">
      <c r="D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ht="12.75" customHeight="1">
      <c r="D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ht="12.75" customHeight="1">
      <c r="D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ht="12.75" customHeight="1">
      <c r="D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</sheetData>
  <mergeCells count="3">
    <mergeCell ref="D3:H3"/>
    <mergeCell ref="D4:H4"/>
    <mergeCell ref="D5:H5"/>
  </mergeCells>
  <conditionalFormatting sqref="C26:AF65 L22:AF25">
    <cfRule type="expression" dxfId="0" priority="1" stopIfTrue="1">
      <formula>$F22="Done"</formula>
    </cfRule>
  </conditionalFormatting>
  <conditionalFormatting sqref="C26:AF65 L22:AF25">
    <cfRule type="expression" dxfId="1" priority="2" stopIfTrue="1">
      <formula>$F22="Ongoing"</formula>
    </cfRule>
  </conditionalFormatting>
  <conditionalFormatting sqref="B22:AF65">
    <cfRule type="expression" dxfId="0" priority="3" stopIfTrue="1">
      <formula>$F22="Terminado"</formula>
    </cfRule>
  </conditionalFormatting>
  <conditionalFormatting sqref="B22:AF65">
    <cfRule type="expression" dxfId="1" priority="4" stopIfTrue="1">
      <formula>$F22="En Progreso"</formula>
    </cfRule>
  </conditionalFormatting>
  <dataValidations>
    <dataValidation type="list" allowBlank="1" sqref="F10:F15 F22:F71">
      <formula1>"Por Hacer,En Progreso,Terminado"</formula1>
    </dataValidation>
  </dataValidations>
  <printOptions/>
  <pageMargins bottom="1.0" footer="0.0" header="0.0" left="0.75" right="0.75" top="1.0"/>
  <pageSetup paperSize="9"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9.13"/>
    <col customWidth="1" min="3" max="3" width="38.38"/>
    <col customWidth="1" min="4" max="4" width="10.75"/>
    <col customWidth="1" min="5" max="5" width="13.75"/>
    <col customWidth="1" min="6" max="6" width="10.88"/>
    <col customWidth="1" min="7" max="7" width="9.63"/>
    <col customWidth="1" min="8" max="32" width="4.38"/>
    <col customWidth="1" min="33" max="33" width="9.13"/>
  </cols>
  <sheetData>
    <row r="1" ht="12.75" customHeight="1">
      <c r="D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0.5" customHeight="1">
      <c r="B2" s="2"/>
      <c r="C2" s="3"/>
      <c r="D2" s="4"/>
      <c r="E2" s="5"/>
      <c r="F2" s="5"/>
      <c r="G2" s="5"/>
      <c r="H2" s="5"/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4"/>
      <c r="W2" s="5"/>
      <c r="X2" s="5"/>
      <c r="Y2" s="5"/>
      <c r="Z2" s="5"/>
      <c r="AA2" s="5"/>
      <c r="AB2" s="5"/>
      <c r="AC2" s="5"/>
      <c r="AD2" s="5"/>
      <c r="AE2" s="5"/>
      <c r="AF2" s="6"/>
    </row>
    <row r="3" ht="15.0" customHeight="1">
      <c r="B3" s="7"/>
      <c r="C3" s="8" t="s">
        <v>0</v>
      </c>
      <c r="D3" s="9"/>
      <c r="E3" s="10"/>
      <c r="F3" s="10"/>
      <c r="G3" s="10"/>
      <c r="H3" s="11"/>
      <c r="I3" s="12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2"/>
      <c r="W3" s="13"/>
      <c r="X3" s="13"/>
      <c r="Y3" s="13"/>
      <c r="Z3" s="13"/>
      <c r="AA3" s="13"/>
      <c r="AB3" s="13"/>
      <c r="AC3" s="13"/>
      <c r="AD3" s="13"/>
      <c r="AE3" s="13"/>
      <c r="AF3" s="14"/>
    </row>
    <row r="4" ht="15.0" customHeight="1">
      <c r="B4" s="7"/>
      <c r="C4" s="8" t="s">
        <v>1</v>
      </c>
      <c r="D4" s="9"/>
      <c r="E4" s="10"/>
      <c r="F4" s="10"/>
      <c r="G4" s="10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2"/>
      <c r="W4" s="13"/>
      <c r="X4" s="13"/>
      <c r="Y4" s="13"/>
      <c r="Z4" s="13"/>
      <c r="AA4" s="13"/>
      <c r="AB4" s="13"/>
      <c r="AC4" s="13"/>
      <c r="AD4" s="13"/>
      <c r="AE4" s="13"/>
      <c r="AF4" s="14"/>
    </row>
    <row r="5" ht="15.0" customHeight="1">
      <c r="B5" s="7"/>
      <c r="C5" s="8" t="s">
        <v>2</v>
      </c>
      <c r="D5" s="9"/>
      <c r="E5" s="10"/>
      <c r="F5" s="10"/>
      <c r="G5" s="10"/>
      <c r="H5" s="11"/>
      <c r="I5" s="12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2"/>
      <c r="W5" s="13"/>
      <c r="X5" s="13"/>
      <c r="Y5" s="13"/>
      <c r="Z5" s="13"/>
      <c r="AA5" s="13"/>
      <c r="AB5" s="13"/>
      <c r="AC5" s="13"/>
      <c r="AD5" s="13"/>
      <c r="AE5" s="13"/>
      <c r="AF5" s="14"/>
    </row>
    <row r="6" ht="15.0" customHeight="1">
      <c r="B6" s="15"/>
      <c r="C6" s="16"/>
      <c r="D6" s="17"/>
      <c r="E6" s="17"/>
      <c r="F6" s="17"/>
      <c r="G6" s="17"/>
      <c r="H6" s="17"/>
      <c r="I6" s="18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8"/>
      <c r="W6" s="19"/>
      <c r="X6" s="19"/>
      <c r="Y6" s="19"/>
      <c r="Z6" s="19"/>
      <c r="AA6" s="19"/>
      <c r="AB6" s="19"/>
      <c r="AC6" s="19"/>
      <c r="AD6" s="19"/>
      <c r="AE6" s="19"/>
      <c r="AF6" s="20"/>
    </row>
    <row r="7" ht="12.75" customHeight="1">
      <c r="D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12.75" customHeight="1">
      <c r="C8" s="21">
        <v>2.0</v>
      </c>
      <c r="D8" s="22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ht="12.75" customHeight="1">
      <c r="D9" s="1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ht="12.75" customHeight="1">
      <c r="D10" s="1"/>
      <c r="F10" s="24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ht="12.75" customHeight="1">
      <c r="D11" s="1"/>
      <c r="F11" s="24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ht="12.75" customHeight="1">
      <c r="D12" s="1"/>
      <c r="F12" s="24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ht="12.75" customHeight="1">
      <c r="D13" s="1"/>
      <c r="F13" s="24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ht="12.75" customHeight="1">
      <c r="D14" s="1"/>
      <c r="F14" s="24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12.75" customHeight="1">
      <c r="D15" s="1"/>
      <c r="F15" s="24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ht="12.75" customHeight="1">
      <c r="B16" s="25"/>
      <c r="C16" s="25" t="s">
        <v>3</v>
      </c>
      <c r="D16" s="1">
        <v>10.0</v>
      </c>
      <c r="E16" s="25"/>
      <c r="F16" s="26"/>
      <c r="G16" s="25" t="s">
        <v>4</v>
      </c>
      <c r="H16" s="25" t="s">
        <v>5</v>
      </c>
      <c r="I16" s="25"/>
      <c r="J16" s="25"/>
      <c r="K16" s="25"/>
      <c r="L16" s="25"/>
      <c r="M16" s="25"/>
      <c r="N16" s="25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</row>
    <row r="17" ht="12.75" customHeight="1">
      <c r="B17" s="25"/>
      <c r="C17" s="25" t="s">
        <v>6</v>
      </c>
      <c r="D17" s="1">
        <v>10.0</v>
      </c>
      <c r="E17" s="25" t="s">
        <v>7</v>
      </c>
      <c r="F17" s="25" t="s">
        <v>8</v>
      </c>
      <c r="G17" s="27">
        <f>SUM(OFFSET(G21,1,0,'Sprint 2'!TaskRows,1))</f>
        <v>29</v>
      </c>
      <c r="H17" s="27">
        <f>IF(AND(SUM(OFFSET(H21,1,0,'Sprint 2'!TaskRows,1))=0),0,SUM(OFFSET(H21,1,0,'Sprint 2'!TaskRows,1)))</f>
        <v>29</v>
      </c>
      <c r="I17" s="27">
        <f>IF(AND(SUM(OFFSET(I21,1,0,'Sprint 2'!TaskRows,1))=0),"",SUM(OFFSET(I21,1,0,'Sprint 2'!TaskRows,1)))</f>
        <v>28</v>
      </c>
      <c r="J17" s="27">
        <f>IF(AND(SUM(OFFSET(J21,1,0,'Sprint 2'!TaskRows,1))=0),"",SUM(OFFSET(J21,1,0,'Sprint 2'!TaskRows,1)))</f>
        <v>25</v>
      </c>
      <c r="K17" s="27">
        <f>IF(AND(SUM(OFFSET(K21,1,0,'Sprint 2'!TaskRows,1))=0),"",SUM(OFFSET(K21,1,0,'Sprint 2'!TaskRows,1)))</f>
        <v>21</v>
      </c>
      <c r="L17" s="27">
        <f>IF(AND(SUM(OFFSET(L21,1,0,'Sprint 2'!TaskRows,1))=0),"",SUM(OFFSET(L21,1,0,'Sprint 2'!TaskRows,1)))</f>
        <v>17</v>
      </c>
      <c r="M17" s="27">
        <f>IF(AND(SUM(OFFSET(M21,1,0,'Sprint 2'!TaskRows,1))=0),"",SUM(OFFSET(M21,1,0,'Sprint 2'!TaskRows,1)))</f>
        <v>12</v>
      </c>
      <c r="N17" s="27">
        <f>IF(AND(SUM(OFFSET(N21,1,0,'Sprint 2'!TaskRows,1))=0),"",SUM(OFFSET(N21,1,0,'Sprint 2'!TaskRows,1)))</f>
        <v>9</v>
      </c>
      <c r="O17" s="27">
        <f>IF(AND(SUM(OFFSET(O21,1,0,'Sprint 2'!TaskRows,1))=0),"",SUM(OFFSET(O21,1,0,'Sprint 2'!TaskRows,1)))</f>
        <v>4</v>
      </c>
      <c r="P17" s="27" t="str">
        <f>IF(AND(SUM(OFFSET(P21,1,0,'Sprint 2'!TaskRows,1))=0),"",SUM(OFFSET(P21,1,0,'Sprint 2'!TaskRows,1)))</f>
        <v/>
      </c>
      <c r="Q17" s="27" t="str">
        <f>IF(AND(SUM(OFFSET(Q21,1,0,'Sprint 2'!TaskRows,1))=0),"",SUM(OFFSET(Q21,1,0,'Sprint 2'!TaskRows,1)))</f>
        <v/>
      </c>
      <c r="R17" s="27" t="str">
        <f>IF(AND(SUM(OFFSET(R21,1,0,'Sprint 2'!TaskRows,1))=0),"",SUM(OFFSET(R21,1,0,'Sprint 2'!TaskRows,1)))</f>
        <v/>
      </c>
      <c r="S17" s="27" t="str">
        <f>IF(AND(SUM(OFFSET(S21,1,0,'Sprint 2'!TaskRows,1))=0),"",SUM(OFFSET(S21,1,0,'Sprint 2'!TaskRows,1)))</f>
        <v/>
      </c>
      <c r="T17" s="27" t="str">
        <f>IF(AND(SUM(OFFSET(T21,1,0,'Sprint 2'!TaskRows,1))=0),"",SUM(OFFSET(T21,1,0,'Sprint 2'!TaskRows,1)))</f>
        <v/>
      </c>
      <c r="U17" s="27" t="str">
        <f>IF(AND(SUM(OFFSET(U21,1,0,'Sprint 2'!TaskRows,1))=0),"",SUM(OFFSET(U21,1,0,'Sprint 2'!TaskRows,1)))</f>
        <v/>
      </c>
      <c r="V17" s="27" t="str">
        <f>IF(AND(SUM(OFFSET(V21,1,0,'Sprint 2'!TaskRows,1))=0),"",SUM(OFFSET(V21,1,0,'Sprint 2'!TaskRows,1)))</f>
        <v/>
      </c>
      <c r="W17" s="27" t="str">
        <f>IF(AND(SUM(OFFSET(W21,1,0,'Sprint 2'!TaskRows,1))=0),"",SUM(OFFSET(W21,1,0,'Sprint 2'!TaskRows,1)))</f>
        <v/>
      </c>
      <c r="X17" s="27" t="str">
        <f>IF(AND(SUM(OFFSET(X21,1,0,'Sprint 2'!TaskRows,1))=0),"",SUM(OFFSET(X21,1,0,'Sprint 2'!TaskRows,1)))</f>
        <v/>
      </c>
      <c r="Y17" s="27" t="str">
        <f>IF(AND(SUM(OFFSET(Y21,1,0,'Sprint 2'!TaskRows,1))=0),"",SUM(OFFSET(Y21,1,0,'Sprint 2'!TaskRows,1)))</f>
        <v/>
      </c>
      <c r="Z17" s="27" t="str">
        <f>IF(AND(SUM(OFFSET(Z21,1,0,'Sprint 2'!TaskRows,1))=0),"",SUM(OFFSET(Z21,1,0,'Sprint 2'!TaskRows,1)))</f>
        <v/>
      </c>
      <c r="AA17" s="27" t="str">
        <f>IF(AND(SUM(OFFSET(AA21,1,0,'Sprint 2'!TaskRows,1))=0),"",SUM(OFFSET(AA21,1,0,'Sprint 2'!TaskRows,1)))</f>
        <v/>
      </c>
      <c r="AB17" s="27" t="str">
        <f>IF(AND(SUM(OFFSET(AB21,1,0,'Sprint 2'!TaskRows,1))=0),"",SUM(OFFSET(AB21,1,0,'Sprint 2'!TaskRows,1)))</f>
        <v/>
      </c>
      <c r="AC17" s="27" t="str">
        <f>IF(AND(SUM(OFFSET(AC21,1,0,'Sprint 2'!TaskRows,1))=0),"",SUM(OFFSET(AC21,1,0,'Sprint 2'!TaskRows,1)))</f>
        <v/>
      </c>
      <c r="AD17" s="27" t="str">
        <f>IF(AND(SUM(OFFSET(AD21,1,0,'Sprint 2'!TaskRows,1))=0),"",SUM(OFFSET(AD21,1,0,'Sprint 2'!TaskRows,1)))</f>
        <v/>
      </c>
      <c r="AE17" s="27" t="str">
        <f>IF(AND(SUM(OFFSET(AE21,1,0,'Sprint 2'!TaskRows,1))=0),"",SUM(OFFSET(AE21,1,0,'Sprint 2'!TaskRows,1)))</f>
        <v/>
      </c>
      <c r="AF17" s="27" t="str">
        <f>IF(AND(SUM(OFFSET(AF21,1,0,'Sprint 2'!TaskRows,1))=0),"",SUM(OFFSET(AF21,1,0,'Sprint 2'!TaskRows,1)))</f>
        <v/>
      </c>
    </row>
    <row r="18" ht="12.75" hidden="1" customHeight="1">
      <c r="C18" s="24" t="s">
        <v>9</v>
      </c>
      <c r="D18" s="1">
        <f>IF(COUNTA(C22:C249)=0,1,COUNTA(C22:C249))</f>
        <v>6</v>
      </c>
      <c r="E18" s="24" t="s">
        <v>10</v>
      </c>
      <c r="F18" s="1">
        <f>IF(COUNTIF(H17:AF17,"&gt;0")=0,1,COUNTIF(H17:AF17,"&gt;0"))</f>
        <v>8</v>
      </c>
      <c r="G18" s="1"/>
      <c r="H18" s="1">
        <f>IF(H21="","",$G17-$G17/($D16-1)*(H21-1))</f>
        <v>29</v>
      </c>
      <c r="I18" s="1">
        <f>IF(I21="","",'Sprint 2'!TotalEffort-'Sprint 2'!TotalEffort/('Sprint 2'!ImplementationDays)*(I21-1))</f>
        <v>26.1</v>
      </c>
      <c r="J18" s="1">
        <f>IF(J21="","",'Sprint 2'!TotalEffort-'Sprint 2'!TotalEffort/('Sprint 2'!ImplementationDays)*(J21-1))</f>
        <v>23.2</v>
      </c>
      <c r="K18" s="1">
        <f>IF(K21="","",'Sprint 2'!TotalEffort-'Sprint 2'!TotalEffort/('Sprint 2'!ImplementationDays)*(K21-1))</f>
        <v>20.3</v>
      </c>
      <c r="L18" s="1">
        <f>IF(L21="","",'Sprint 2'!TotalEffort-'Sprint 2'!TotalEffort/('Sprint 2'!ImplementationDays)*(L21-1))</f>
        <v>17.4</v>
      </c>
      <c r="M18" s="1">
        <f>IF(M21="","",'Sprint 2'!TotalEffort-'Sprint 2'!TotalEffort/('Sprint 2'!ImplementationDays)*(M21-1))</f>
        <v>14.5</v>
      </c>
      <c r="N18" s="1">
        <f>IF(N21="","",'Sprint 2'!TotalEffort-'Sprint 2'!TotalEffort/('Sprint 2'!ImplementationDays)*(N21-1))</f>
        <v>11.6</v>
      </c>
      <c r="O18" s="1">
        <f>IF(O21="","",'Sprint 2'!TotalEffort-'Sprint 2'!TotalEffort/('Sprint 2'!ImplementationDays)*(O21-1))</f>
        <v>8.7</v>
      </c>
      <c r="P18" s="1">
        <f>IF(P21="","",'Sprint 2'!TotalEffort-'Sprint 2'!TotalEffort/('Sprint 2'!ImplementationDays)*(P21-1))</f>
        <v>5.8</v>
      </c>
      <c r="Q18" s="1">
        <f>IF(Q21="","",'Sprint 2'!TotalEffort-'Sprint 2'!TotalEffort/('Sprint 2'!ImplementationDays)*(Q21-1))</f>
        <v>2.9</v>
      </c>
      <c r="R18" s="1" t="str">
        <f>IF(R21="","",'Sprint 2'!TotalEffort-'Sprint 2'!TotalEffort/('Sprint 2'!ImplementationDays)*(R21-1))</f>
        <v/>
      </c>
      <c r="S18" s="1" t="str">
        <f>IF(S21="","",'Sprint 2'!TotalEffort-'Sprint 2'!TotalEffort/('Sprint 2'!ImplementationDays)*(S21-1))</f>
        <v/>
      </c>
      <c r="T18" s="1" t="str">
        <f>IF(T21="","",'Sprint 2'!TotalEffort-'Sprint 2'!TotalEffort/('Sprint 2'!ImplementationDays)*(T21-1))</f>
        <v/>
      </c>
      <c r="U18" s="1" t="str">
        <f>IF(U21="","",'Sprint 2'!TotalEffort-'Sprint 2'!TotalEffort/('Sprint 2'!ImplementationDays)*(U21-1))</f>
        <v/>
      </c>
      <c r="V18" s="1" t="str">
        <f>IF(V21="","",'Sprint 2'!TotalEffort-'Sprint 2'!TotalEffort/('Sprint 2'!ImplementationDays)*(V21-1))</f>
        <v/>
      </c>
      <c r="W18" s="1" t="str">
        <f>IF(W21="","",'Sprint 2'!TotalEffort-'Sprint 2'!TotalEffort/('Sprint 2'!ImplementationDays)*(W21-1))</f>
        <v/>
      </c>
      <c r="X18" s="1" t="str">
        <f>IF(X21="","",'Sprint 2'!TotalEffort-'Sprint 2'!TotalEffort/('Sprint 2'!ImplementationDays)*(X21-1))</f>
        <v/>
      </c>
      <c r="Y18" s="1" t="str">
        <f>IF(Y21="","",'Sprint 2'!TotalEffort-'Sprint 2'!TotalEffort/('Sprint 2'!ImplementationDays)*(Y21-1))</f>
        <v/>
      </c>
      <c r="Z18" s="1" t="str">
        <f>IF(Z21="","",'Sprint 2'!TotalEffort-'Sprint 2'!TotalEffort/('Sprint 2'!ImplementationDays)*(Z21-1))</f>
        <v/>
      </c>
      <c r="AA18" s="1" t="str">
        <f>IF(AA21="","",'Sprint 2'!TotalEffort-'Sprint 2'!TotalEffort/('Sprint 2'!ImplementationDays)*(AA21-1))</f>
        <v/>
      </c>
      <c r="AB18" s="1" t="str">
        <f>IF(AB21="","",'Sprint 2'!TotalEffort-'Sprint 2'!TotalEffort/('Sprint 2'!ImplementationDays)*(AB21-1))</f>
        <v/>
      </c>
      <c r="AC18" s="1" t="str">
        <f>IF(AC21="","",'Sprint 2'!TotalEffort-'Sprint 2'!TotalEffort/('Sprint 2'!ImplementationDays)*(AC21-1))</f>
        <v/>
      </c>
      <c r="AD18" s="1" t="str">
        <f>IF(AD21="","",'Sprint 2'!TotalEffort-'Sprint 2'!TotalEffort/('Sprint 2'!ImplementationDays)*(AD21-1))</f>
        <v/>
      </c>
      <c r="AE18" s="1" t="str">
        <f>IF(AE21="","",'Sprint 2'!TotalEffort-'Sprint 2'!TotalEffort/('Sprint 2'!ImplementationDays)*(AE21-1))</f>
        <v/>
      </c>
      <c r="AF18" s="1" t="str">
        <f>IF(AF21="","",'Sprint 2'!TotalEffort-'Sprint 2'!TotalEffort/('Sprint 2'!ImplementationDays)*(AF21-1))</f>
        <v/>
      </c>
    </row>
    <row r="19" ht="12.75" hidden="1" customHeight="1">
      <c r="C19" s="28" t="s">
        <v>11</v>
      </c>
      <c r="E19" s="24" t="s">
        <v>12</v>
      </c>
      <c r="F19" s="1"/>
      <c r="G19" s="1"/>
      <c r="H19" s="1">
        <f t="array" ref="H19">IF(TREND(OFFSET($H17,0,'Sprint 2'!DoneDays-'Sprint 2'!TrendDays,1,'Sprint 2'!TrendDays),OFFSET($H20,0,'Sprint 2'!DoneDays-'Sprint 2'!TrendDays,1,'Sprint 2'!TrendDays),H20)&lt;0,"",TREND(OFFSET($H17,0,'Sprint 2'!DoneDays-'Sprint 2'!TrendDays,1,'Sprint 2'!TrendDays),OFFSET($H20,0,'Sprint 2'!DoneDays-'Sprint 2'!TrendDays,1,'Sprint 2'!TrendDays),H20))</f>
        <v>31.16666667</v>
      </c>
      <c r="I19" s="1">
        <f t="array" ref="I19">IF(TREND(OFFSET($H17,0,'Sprint 2'!DoneDays-'Sprint 2'!TrendDays,1,'Sprint 2'!TrendDays),OFFSET($H20,0,'Sprint 2'!DoneDays-'Sprint 2'!TrendDays,1,'Sprint 2'!TrendDays),I20)&lt;0,"",TREND(OFFSET($H17,0,'Sprint 2'!DoneDays-'Sprint 2'!TrendDays,1,'Sprint 2'!TrendDays),OFFSET($H20,0,'Sprint 2'!DoneDays-'Sprint 2'!TrendDays,1,'Sprint 2'!TrendDays),I20))</f>
        <v>27.44047619</v>
      </c>
      <c r="J19" s="1">
        <f t="array" ref="J19">IF(TREND(OFFSET($H17,0,'Sprint 2'!DoneDays-'Sprint 2'!TrendDays,1,'Sprint 2'!TrendDays),OFFSET($H20,0,'Sprint 2'!DoneDays-'Sprint 2'!TrendDays,1,'Sprint 2'!TrendDays),J20)&lt;0,"",TREND(OFFSET($H17,0,'Sprint 2'!DoneDays-'Sprint 2'!TrendDays,1,'Sprint 2'!TrendDays),OFFSET($H20,0,'Sprint 2'!DoneDays-'Sprint 2'!TrendDays,1,'Sprint 2'!TrendDays),J20))</f>
        <v>23.71428571</v>
      </c>
      <c r="K19" s="1">
        <f t="array" ref="K19">IF(TREND(OFFSET($H17,0,'Sprint 2'!DoneDays-'Sprint 2'!TrendDays,1,'Sprint 2'!TrendDays),OFFSET($H20,0,'Sprint 2'!DoneDays-'Sprint 2'!TrendDays,1,'Sprint 2'!TrendDays),K20)&lt;0,"",TREND(OFFSET($H17,0,'Sprint 2'!DoneDays-'Sprint 2'!TrendDays,1,'Sprint 2'!TrendDays),OFFSET($H20,0,'Sprint 2'!DoneDays-'Sprint 2'!TrendDays,1,'Sprint 2'!TrendDays),K20))</f>
        <v>19.98809524</v>
      </c>
      <c r="L19" s="1">
        <f t="array" ref="L19">IF(TREND(OFFSET($H17,0,'Sprint 2'!DoneDays-'Sprint 2'!TrendDays,1,'Sprint 2'!TrendDays),OFFSET($H20,0,'Sprint 2'!DoneDays-'Sprint 2'!TrendDays,1,'Sprint 2'!TrendDays),L20)&lt;0,"",TREND(OFFSET($H17,0,'Sprint 2'!DoneDays-'Sprint 2'!TrendDays,1,'Sprint 2'!TrendDays),OFFSET($H20,0,'Sprint 2'!DoneDays-'Sprint 2'!TrendDays,1,'Sprint 2'!TrendDays),L20))</f>
        <v>16.26190476</v>
      </c>
      <c r="M19" s="1">
        <f t="array" ref="M19">IF(TREND(OFFSET($H17,0,'Sprint 2'!DoneDays-'Sprint 2'!TrendDays,1,'Sprint 2'!TrendDays),OFFSET($H20,0,'Sprint 2'!DoneDays-'Sprint 2'!TrendDays,1,'Sprint 2'!TrendDays),M20)&lt;0,"",TREND(OFFSET($H17,0,'Sprint 2'!DoneDays-'Sprint 2'!TrendDays,1,'Sprint 2'!TrendDays),OFFSET($H20,0,'Sprint 2'!DoneDays-'Sprint 2'!TrendDays,1,'Sprint 2'!TrendDays),M20))</f>
        <v>12.53571429</v>
      </c>
      <c r="N19" s="1">
        <f t="array" ref="N19">IF(TREND(OFFSET($H17,0,'Sprint 2'!DoneDays-'Sprint 2'!TrendDays,1,'Sprint 2'!TrendDays),OFFSET($H20,0,'Sprint 2'!DoneDays-'Sprint 2'!TrendDays,1,'Sprint 2'!TrendDays),N20)&lt;0,"",TREND(OFFSET($H17,0,'Sprint 2'!DoneDays-'Sprint 2'!TrendDays,1,'Sprint 2'!TrendDays),OFFSET($H20,0,'Sprint 2'!DoneDays-'Sprint 2'!TrendDays,1,'Sprint 2'!TrendDays),N20))</f>
        <v>8.80952381</v>
      </c>
      <c r="O19" s="1">
        <f t="array" ref="O19">IF(TREND(OFFSET($H17,0,'Sprint 2'!DoneDays-'Sprint 2'!TrendDays,1,'Sprint 2'!TrendDays),OFFSET($H20,0,'Sprint 2'!DoneDays-'Sprint 2'!TrendDays,1,'Sprint 2'!TrendDays),O20)&lt;0,"",TREND(OFFSET($H17,0,'Sprint 2'!DoneDays-'Sprint 2'!TrendDays,1,'Sprint 2'!TrendDays),OFFSET($H20,0,'Sprint 2'!DoneDays-'Sprint 2'!TrendDays,1,'Sprint 2'!TrendDays),O20))</f>
        <v>5.083333333</v>
      </c>
      <c r="P19" s="1">
        <f t="array" ref="P19">IF(TREND(OFFSET($H17,0,'Sprint 2'!DoneDays-'Sprint 2'!TrendDays,1,'Sprint 2'!TrendDays),OFFSET($H20,0,'Sprint 2'!DoneDays-'Sprint 2'!TrendDays,1,'Sprint 2'!TrendDays),P20)&lt;0,"",TREND(OFFSET($H17,0,'Sprint 2'!DoneDays-'Sprint 2'!TrendDays,1,'Sprint 2'!TrendDays),OFFSET($H20,0,'Sprint 2'!DoneDays-'Sprint 2'!TrendDays,1,'Sprint 2'!TrendDays),P20))</f>
        <v>1.357142857</v>
      </c>
      <c r="Q19" s="1" t="str">
        <f t="array" ref="Q19">IF(TREND(OFFSET($H17,0,'Sprint 2'!DoneDays-'Sprint 2'!TrendDays,1,'Sprint 2'!TrendDays),OFFSET($H20,0,'Sprint 2'!DoneDays-'Sprint 2'!TrendDays,1,'Sprint 2'!TrendDays),Q20)&lt;0,"",TREND(OFFSET($H17,0,'Sprint 2'!DoneDays-'Sprint 2'!TrendDays,1,'Sprint 2'!TrendDays),OFFSET($H20,0,'Sprint 2'!DoneDays-'Sprint 2'!TrendDays,1,'Sprint 2'!TrendDays),Q20))</f>
        <v/>
      </c>
      <c r="R19" s="1" t="str">
        <f t="array" ref="R19">IF(TREND(OFFSET($H17,0,'Sprint 2'!DoneDays-'Sprint 2'!TrendDays,1,'Sprint 2'!TrendDays),OFFSET($H20,0,'Sprint 2'!DoneDays-'Sprint 2'!TrendDays,1,'Sprint 2'!TrendDays),R20)&lt;0,"",TREND(OFFSET($H17,0,'Sprint 2'!DoneDays-'Sprint 2'!TrendDays,1,'Sprint 2'!TrendDays),OFFSET($H20,0,'Sprint 2'!DoneDays-'Sprint 2'!TrendDays,1,'Sprint 2'!TrendDays),R20))</f>
        <v/>
      </c>
      <c r="S19" s="1" t="str">
        <f t="array" ref="S19">IF(TREND(OFFSET($H17,0,'Sprint 2'!DoneDays-'Sprint 2'!TrendDays,1,'Sprint 2'!TrendDays),OFFSET($H20,0,'Sprint 2'!DoneDays-'Sprint 2'!TrendDays,1,'Sprint 2'!TrendDays),S20)&lt;0,"",TREND(OFFSET($H17,0,'Sprint 2'!DoneDays-'Sprint 2'!TrendDays,1,'Sprint 2'!TrendDays),OFFSET($H20,0,'Sprint 2'!DoneDays-'Sprint 2'!TrendDays,1,'Sprint 2'!TrendDays),S20))</f>
        <v/>
      </c>
      <c r="T19" s="1" t="str">
        <f t="array" ref="T19">IF(TREND(OFFSET($H17,0,'Sprint 2'!DoneDays-'Sprint 2'!TrendDays,1,'Sprint 2'!TrendDays),OFFSET($H20,0,'Sprint 2'!DoneDays-'Sprint 2'!TrendDays,1,'Sprint 2'!TrendDays),T20)&lt;0,"",TREND(OFFSET($H17,0,'Sprint 2'!DoneDays-'Sprint 2'!TrendDays,1,'Sprint 2'!TrendDays),OFFSET($H20,0,'Sprint 2'!DoneDays-'Sprint 2'!TrendDays,1,'Sprint 2'!TrendDays),T20))</f>
        <v/>
      </c>
      <c r="U19" s="1" t="str">
        <f t="array" ref="U19">IF(TREND(OFFSET($H17,0,'Sprint 2'!DoneDays-'Sprint 2'!TrendDays,1,'Sprint 2'!TrendDays),OFFSET($H20,0,'Sprint 2'!DoneDays-'Sprint 2'!TrendDays,1,'Sprint 2'!TrendDays),U20)&lt;0,"",TREND(OFFSET($H17,0,'Sprint 2'!DoneDays-'Sprint 2'!TrendDays,1,'Sprint 2'!TrendDays),OFFSET($H20,0,'Sprint 2'!DoneDays-'Sprint 2'!TrendDays,1,'Sprint 2'!TrendDays),U20))</f>
        <v/>
      </c>
      <c r="V19" s="1" t="str">
        <f t="array" ref="V19">IF(TREND(OFFSET($H17,0,'Sprint 2'!DoneDays-'Sprint 2'!TrendDays,1,'Sprint 2'!TrendDays),OFFSET($H20,0,'Sprint 2'!DoneDays-'Sprint 2'!TrendDays,1,'Sprint 2'!TrendDays),V20)&lt;0,"",TREND(OFFSET($H17,0,'Sprint 2'!DoneDays-'Sprint 2'!TrendDays,1,'Sprint 2'!TrendDays),OFFSET($H20,0,'Sprint 2'!DoneDays-'Sprint 2'!TrendDays,1,'Sprint 2'!TrendDays),V20))</f>
        <v/>
      </c>
      <c r="W19" s="1" t="str">
        <f t="array" ref="W19">IF(TREND(OFFSET($H17,0,'Sprint 2'!DoneDays-'Sprint 2'!TrendDays,1,'Sprint 2'!TrendDays),OFFSET($H20,0,'Sprint 2'!DoneDays-'Sprint 2'!TrendDays,1,'Sprint 2'!TrendDays),W20)&lt;0,"",TREND(OFFSET($H17,0,'Sprint 2'!DoneDays-'Sprint 2'!TrendDays,1,'Sprint 2'!TrendDays),OFFSET($H20,0,'Sprint 2'!DoneDays-'Sprint 2'!TrendDays,1,'Sprint 2'!TrendDays),W20))</f>
        <v/>
      </c>
      <c r="X19" s="1" t="str">
        <f t="array" ref="X19">IF(TREND(OFFSET($H17,0,'Sprint 2'!DoneDays-'Sprint 2'!TrendDays,1,'Sprint 2'!TrendDays),OFFSET($H20,0,'Sprint 2'!DoneDays-'Sprint 2'!TrendDays,1,'Sprint 2'!TrendDays),X20)&lt;0,"",TREND(OFFSET($H17,0,'Sprint 2'!DoneDays-'Sprint 2'!TrendDays,1,'Sprint 2'!TrendDays),OFFSET($H20,0,'Sprint 2'!DoneDays-'Sprint 2'!TrendDays,1,'Sprint 2'!TrendDays),X20))</f>
        <v/>
      </c>
      <c r="Y19" s="1" t="str">
        <f t="array" ref="Y19">IF(TREND(OFFSET($H17,0,'Sprint 2'!DoneDays-'Sprint 2'!TrendDays,1,'Sprint 2'!TrendDays),OFFSET($H20,0,'Sprint 2'!DoneDays-'Sprint 2'!TrendDays,1,'Sprint 2'!TrendDays),Y20)&lt;0,"",TREND(OFFSET($H17,0,'Sprint 2'!DoneDays-'Sprint 2'!TrendDays,1,'Sprint 2'!TrendDays),OFFSET($H20,0,'Sprint 2'!DoneDays-'Sprint 2'!TrendDays,1,'Sprint 2'!TrendDays),Y20))</f>
        <v/>
      </c>
      <c r="Z19" s="1" t="str">
        <f t="array" ref="Z19">IF(TREND(OFFSET($H17,0,'Sprint 2'!DoneDays-'Sprint 2'!TrendDays,1,'Sprint 2'!TrendDays),OFFSET($H20,0,'Sprint 2'!DoneDays-'Sprint 2'!TrendDays,1,'Sprint 2'!TrendDays),Z20)&lt;0,"",TREND(OFFSET($H17,0,'Sprint 2'!DoneDays-'Sprint 2'!TrendDays,1,'Sprint 2'!TrendDays),OFFSET($H20,0,'Sprint 2'!DoneDays-'Sprint 2'!TrendDays,1,'Sprint 2'!TrendDays),Z20))</f>
        <v/>
      </c>
      <c r="AA19" s="1" t="str">
        <f t="array" ref="AA19">IF(TREND(OFFSET($H17,0,'Sprint 2'!DoneDays-'Sprint 2'!TrendDays,1,'Sprint 2'!TrendDays),OFFSET($H20,0,'Sprint 2'!DoneDays-'Sprint 2'!TrendDays,1,'Sprint 2'!TrendDays),AA20)&lt;0,"",TREND(OFFSET($H17,0,'Sprint 2'!DoneDays-'Sprint 2'!TrendDays,1,'Sprint 2'!TrendDays),OFFSET($H20,0,'Sprint 2'!DoneDays-'Sprint 2'!TrendDays,1,'Sprint 2'!TrendDays),AA20))</f>
        <v/>
      </c>
      <c r="AB19" s="1" t="str">
        <f t="array" ref="AB19">IF(TREND(OFFSET($H17,0,'Sprint 2'!DoneDays-'Sprint 2'!TrendDays,1,'Sprint 2'!TrendDays),OFFSET($H20,0,'Sprint 2'!DoneDays-'Sprint 2'!TrendDays,1,'Sprint 2'!TrendDays),AB20)&lt;0,"",TREND(OFFSET($H17,0,'Sprint 2'!DoneDays-'Sprint 2'!TrendDays,1,'Sprint 2'!TrendDays),OFFSET($H20,0,'Sprint 2'!DoneDays-'Sprint 2'!TrendDays,1,'Sprint 2'!TrendDays),AB20))</f>
        <v/>
      </c>
      <c r="AC19" s="1" t="str">
        <f t="array" ref="AC19">IF(TREND(OFFSET($H17,0,'Sprint 2'!DoneDays-'Sprint 2'!TrendDays,1,'Sprint 2'!TrendDays),OFFSET($H20,0,'Sprint 2'!DoneDays-'Sprint 2'!TrendDays,1,'Sprint 2'!TrendDays),AC20)&lt;0,"",TREND(OFFSET($H17,0,'Sprint 2'!DoneDays-'Sprint 2'!TrendDays,1,'Sprint 2'!TrendDays),OFFSET($H20,0,'Sprint 2'!DoneDays-'Sprint 2'!TrendDays,1,'Sprint 2'!TrendDays),AC20))</f>
        <v/>
      </c>
      <c r="AD19" s="1" t="str">
        <f t="array" ref="AD19">IF(TREND(OFFSET($H17,0,'Sprint 2'!DoneDays-'Sprint 2'!TrendDays,1,'Sprint 2'!TrendDays),OFFSET($H20,0,'Sprint 2'!DoneDays-'Sprint 2'!TrendDays,1,'Sprint 2'!TrendDays),AD20)&lt;0,"",TREND(OFFSET($H17,0,'Sprint 2'!DoneDays-'Sprint 2'!TrendDays,1,'Sprint 2'!TrendDays),OFFSET($H20,0,'Sprint 2'!DoneDays-'Sprint 2'!TrendDays,1,'Sprint 2'!TrendDays),AD20))</f>
        <v/>
      </c>
      <c r="AE19" s="1" t="str">
        <f t="array" ref="AE19">IF(TREND(OFFSET($H17,0,'Sprint 2'!DoneDays-'Sprint 2'!TrendDays,1,'Sprint 2'!TrendDays),OFFSET($H20,0,'Sprint 2'!DoneDays-'Sprint 2'!TrendDays,1,'Sprint 2'!TrendDays),AE20)&lt;0,"",TREND(OFFSET($H17,0,'Sprint 2'!DoneDays-'Sprint 2'!TrendDays,1,'Sprint 2'!TrendDays),OFFSET($H20,0,'Sprint 2'!DoneDays-'Sprint 2'!TrendDays,1,'Sprint 2'!TrendDays),AE20))</f>
        <v/>
      </c>
      <c r="AF19" s="1" t="str">
        <f t="array" ref="AF19">IF(TREND(OFFSET($H17,0,'Sprint 2'!DoneDays-'Sprint 2'!TrendDays,1,'Sprint 2'!TrendDays),OFFSET($H20,0,'Sprint 2'!DoneDays-'Sprint 2'!TrendDays,1,'Sprint 2'!TrendDays),AF20)&lt;0,"",TREND(OFFSET($H17,0,'Sprint 2'!DoneDays-'Sprint 2'!TrendDays,1,'Sprint 2'!TrendDays),OFFSET($H20,0,'Sprint 2'!DoneDays-'Sprint 2'!TrendDays,1,'Sprint 2'!TrendDays),AF20))</f>
        <v/>
      </c>
    </row>
    <row r="20" ht="12.75" hidden="1" customHeight="1">
      <c r="C20" s="28" t="s">
        <v>13</v>
      </c>
      <c r="E20" s="24" t="s">
        <v>14</v>
      </c>
      <c r="F20" s="1">
        <f>IF('Sprint 2'!DoneDays&gt;D17,D17,'Sprint 2'!DoneDays)</f>
        <v>8</v>
      </c>
      <c r="G20" s="1"/>
      <c r="H20" s="1">
        <f>IF('Sprint 2'!DoneDays&gt;G20,G20+1,"")</f>
        <v>1</v>
      </c>
      <c r="I20" s="1">
        <v>2.0</v>
      </c>
      <c r="J20" s="1">
        <v>3.0</v>
      </c>
      <c r="K20" s="1">
        <v>4.0</v>
      </c>
      <c r="L20" s="1">
        <v>5.0</v>
      </c>
      <c r="M20" s="1">
        <v>6.0</v>
      </c>
      <c r="N20" s="1">
        <v>7.0</v>
      </c>
      <c r="O20" s="1">
        <v>8.0</v>
      </c>
      <c r="P20" s="1">
        <v>9.0</v>
      </c>
      <c r="Q20" s="1">
        <v>10.0</v>
      </c>
      <c r="R20" s="1">
        <v>11.0</v>
      </c>
      <c r="S20" s="1">
        <v>12.0</v>
      </c>
      <c r="T20" s="1">
        <v>13.0</v>
      </c>
      <c r="U20" s="1">
        <v>14.0</v>
      </c>
      <c r="V20" s="1">
        <v>15.0</v>
      </c>
      <c r="W20" s="1">
        <v>16.0</v>
      </c>
      <c r="X20" s="1">
        <v>17.0</v>
      </c>
      <c r="Y20" s="1">
        <v>18.0</v>
      </c>
      <c r="Z20" s="1">
        <v>19.0</v>
      </c>
      <c r="AA20" s="1">
        <v>20.0</v>
      </c>
      <c r="AB20" s="1">
        <v>21.0</v>
      </c>
      <c r="AC20" s="1">
        <v>22.0</v>
      </c>
      <c r="AD20" s="1">
        <v>23.0</v>
      </c>
      <c r="AE20" s="1">
        <v>24.0</v>
      </c>
      <c r="AF20" s="1">
        <v>25.0</v>
      </c>
    </row>
    <row r="21" ht="12.75" customHeight="1">
      <c r="B21" s="25" t="s">
        <v>15</v>
      </c>
      <c r="C21" s="29" t="s">
        <v>16</v>
      </c>
      <c r="D21" s="29" t="s">
        <v>17</v>
      </c>
      <c r="E21" s="29" t="s">
        <v>18</v>
      </c>
      <c r="F21" s="29" t="s">
        <v>19</v>
      </c>
      <c r="G21" s="29" t="s">
        <v>20</v>
      </c>
      <c r="H21" s="29">
        <v>1.0</v>
      </c>
      <c r="I21" s="29">
        <f t="shared" ref="I21:AF21" si="1">IF($D$16&gt;H21,H21+1,"")</f>
        <v>2</v>
      </c>
      <c r="J21" s="29">
        <f t="shared" si="1"/>
        <v>3</v>
      </c>
      <c r="K21" s="29">
        <f t="shared" si="1"/>
        <v>4</v>
      </c>
      <c r="L21" s="29">
        <f t="shared" si="1"/>
        <v>5</v>
      </c>
      <c r="M21" s="29">
        <f t="shared" si="1"/>
        <v>6</v>
      </c>
      <c r="N21" s="29">
        <f t="shared" si="1"/>
        <v>7</v>
      </c>
      <c r="O21" s="29">
        <f t="shared" si="1"/>
        <v>8</v>
      </c>
      <c r="P21" s="29">
        <f t="shared" si="1"/>
        <v>9</v>
      </c>
      <c r="Q21" s="29">
        <f t="shared" si="1"/>
        <v>10</v>
      </c>
      <c r="R21" s="29" t="str">
        <f t="shared" si="1"/>
        <v/>
      </c>
      <c r="S21" s="29" t="str">
        <f t="shared" si="1"/>
        <v/>
      </c>
      <c r="T21" s="29" t="str">
        <f t="shared" si="1"/>
        <v/>
      </c>
      <c r="U21" s="29" t="str">
        <f t="shared" si="1"/>
        <v/>
      </c>
      <c r="V21" s="29" t="str">
        <f t="shared" si="1"/>
        <v/>
      </c>
      <c r="W21" s="29" t="str">
        <f t="shared" si="1"/>
        <v/>
      </c>
      <c r="X21" s="29" t="str">
        <f t="shared" si="1"/>
        <v/>
      </c>
      <c r="Y21" s="29" t="str">
        <f t="shared" si="1"/>
        <v/>
      </c>
      <c r="Z21" s="29" t="str">
        <f t="shared" si="1"/>
        <v/>
      </c>
      <c r="AA21" s="29" t="str">
        <f t="shared" si="1"/>
        <v/>
      </c>
      <c r="AB21" s="29" t="str">
        <f t="shared" si="1"/>
        <v/>
      </c>
      <c r="AC21" s="29" t="str">
        <f t="shared" si="1"/>
        <v/>
      </c>
      <c r="AD21" s="29" t="str">
        <f t="shared" si="1"/>
        <v/>
      </c>
      <c r="AE21" s="29" t="str">
        <f t="shared" si="1"/>
        <v/>
      </c>
      <c r="AF21" s="29" t="str">
        <f t="shared" si="1"/>
        <v/>
      </c>
    </row>
    <row r="22" ht="12.75" customHeight="1">
      <c r="B22" s="30">
        <v>46024.0</v>
      </c>
      <c r="C22" s="31" t="s">
        <v>50</v>
      </c>
      <c r="D22" s="31" t="s">
        <v>51</v>
      </c>
      <c r="E22" s="31" t="s">
        <v>23</v>
      </c>
      <c r="F22" s="31" t="s">
        <v>28</v>
      </c>
      <c r="G22" s="31">
        <v>7.0</v>
      </c>
      <c r="H22" s="31">
        <v>7.0</v>
      </c>
      <c r="I22" s="31">
        <v>6.0</v>
      </c>
      <c r="J22" s="31">
        <v>5.0</v>
      </c>
      <c r="K22" s="31">
        <v>4.0</v>
      </c>
      <c r="L22" s="31">
        <v>3.0</v>
      </c>
      <c r="M22" s="31">
        <v>2.0</v>
      </c>
      <c r="N22" s="31">
        <v>1.0</v>
      </c>
      <c r="O22" s="31">
        <v>0.0</v>
      </c>
      <c r="P22" s="31">
        <v>0.0</v>
      </c>
      <c r="Q22" s="31">
        <v>0.0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 t="str">
        <f t="shared" ref="AE22:AF22" si="2">IF(OR(AE$21="",$G22=""),"",AD22)</f>
        <v/>
      </c>
      <c r="AF22" s="1" t="str">
        <f t="shared" si="2"/>
        <v/>
      </c>
    </row>
    <row r="23" ht="12.75" customHeight="1">
      <c r="B23" s="30">
        <v>46055.0</v>
      </c>
      <c r="C23" s="31" t="s">
        <v>52</v>
      </c>
      <c r="D23" s="31" t="s">
        <v>53</v>
      </c>
      <c r="E23" s="31" t="s">
        <v>27</v>
      </c>
      <c r="F23" s="31" t="s">
        <v>28</v>
      </c>
      <c r="G23" s="31">
        <v>5.0</v>
      </c>
      <c r="H23" s="31">
        <v>5.0</v>
      </c>
      <c r="I23" s="31">
        <v>5.0</v>
      </c>
      <c r="J23" s="31">
        <v>4.0</v>
      </c>
      <c r="K23" s="31">
        <v>4.0</v>
      </c>
      <c r="L23" s="31">
        <v>3.0</v>
      </c>
      <c r="M23" s="31">
        <v>2.0</v>
      </c>
      <c r="N23" s="31">
        <v>2.0</v>
      </c>
      <c r="O23" s="31">
        <v>1.0</v>
      </c>
      <c r="P23" s="31">
        <v>0.0</v>
      </c>
      <c r="Q23" s="31">
        <v>0.0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 t="str">
        <f t="shared" ref="AE23:AF23" si="3">IF(OR(AE$21="",$G23=""),"",AD23)</f>
        <v/>
      </c>
      <c r="AF23" s="1" t="str">
        <f t="shared" si="3"/>
        <v/>
      </c>
    </row>
    <row r="24" ht="12.75" customHeight="1">
      <c r="B24" s="30">
        <v>46083.0</v>
      </c>
      <c r="C24" s="31" t="s">
        <v>54</v>
      </c>
      <c r="D24" s="31" t="s">
        <v>55</v>
      </c>
      <c r="E24" s="31" t="s">
        <v>31</v>
      </c>
      <c r="F24" s="31" t="s">
        <v>28</v>
      </c>
      <c r="G24" s="31">
        <v>4.0</v>
      </c>
      <c r="H24" s="31">
        <v>4.0</v>
      </c>
      <c r="I24" s="31">
        <v>4.0</v>
      </c>
      <c r="J24" s="31">
        <v>4.0</v>
      </c>
      <c r="K24" s="31">
        <v>3.0</v>
      </c>
      <c r="L24" s="31">
        <v>3.0</v>
      </c>
      <c r="M24" s="31">
        <v>2.0</v>
      </c>
      <c r="N24" s="31">
        <v>1.0</v>
      </c>
      <c r="O24" s="31">
        <v>1.0</v>
      </c>
      <c r="P24" s="31">
        <v>0.0</v>
      </c>
      <c r="Q24" s="31">
        <v>0.0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 t="str">
        <f t="shared" ref="AE24:AF24" si="4">IF(OR(AE$21="",$G24=""),"",AD24)</f>
        <v/>
      </c>
      <c r="AF24" s="1" t="str">
        <f t="shared" si="4"/>
        <v/>
      </c>
    </row>
    <row r="25" ht="12.75" customHeight="1">
      <c r="B25" s="30">
        <v>46114.0</v>
      </c>
      <c r="C25" s="31" t="s">
        <v>56</v>
      </c>
      <c r="D25" s="31" t="s">
        <v>57</v>
      </c>
      <c r="E25" s="31" t="s">
        <v>34</v>
      </c>
      <c r="F25" s="31" t="s">
        <v>28</v>
      </c>
      <c r="G25" s="31">
        <v>3.0</v>
      </c>
      <c r="H25" s="31">
        <v>3.0</v>
      </c>
      <c r="I25" s="31">
        <v>3.0</v>
      </c>
      <c r="J25" s="31">
        <v>3.0</v>
      </c>
      <c r="K25" s="31">
        <v>2.0</v>
      </c>
      <c r="L25" s="31">
        <v>2.0</v>
      </c>
      <c r="M25" s="31">
        <v>1.0</v>
      </c>
      <c r="N25" s="31">
        <v>1.0</v>
      </c>
      <c r="O25" s="31">
        <v>0.0</v>
      </c>
      <c r="P25" s="31">
        <v>0.0</v>
      </c>
      <c r="Q25" s="31">
        <v>0.0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 t="str">
        <f t="shared" ref="AE25:AF25" si="5">IF(OR(AE$21="",$G25=""),"",AD25)</f>
        <v/>
      </c>
      <c r="AF25" s="1" t="str">
        <f t="shared" si="5"/>
        <v/>
      </c>
    </row>
    <row r="26" ht="12.75" customHeight="1">
      <c r="B26" s="30">
        <v>46144.0</v>
      </c>
      <c r="C26" s="31" t="s">
        <v>58</v>
      </c>
      <c r="D26" s="31" t="s">
        <v>59</v>
      </c>
      <c r="E26" s="31" t="s">
        <v>23</v>
      </c>
      <c r="F26" s="31" t="s">
        <v>28</v>
      </c>
      <c r="G26" s="31">
        <v>5.0</v>
      </c>
      <c r="H26" s="31">
        <v>5.0</v>
      </c>
      <c r="I26" s="31">
        <v>5.0</v>
      </c>
      <c r="J26" s="31">
        <v>4.0</v>
      </c>
      <c r="K26" s="31">
        <v>4.0</v>
      </c>
      <c r="L26" s="31">
        <v>3.0</v>
      </c>
      <c r="M26" s="31">
        <v>2.0</v>
      </c>
      <c r="N26" s="31">
        <v>2.0</v>
      </c>
      <c r="O26" s="31">
        <v>1.0</v>
      </c>
      <c r="P26" s="31">
        <v>0.0</v>
      </c>
      <c r="Q26" s="31">
        <v>0.0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 t="str">
        <f t="shared" ref="AE26:AF26" si="6">IF(OR(AE$21="",$G26=""),"",AD26)</f>
        <v/>
      </c>
      <c r="AF26" s="1" t="str">
        <f t="shared" si="6"/>
        <v/>
      </c>
    </row>
    <row r="27" ht="12.75" customHeight="1">
      <c r="B27" s="30">
        <v>46175.0</v>
      </c>
      <c r="C27" s="31" t="s">
        <v>60</v>
      </c>
      <c r="D27" s="31" t="s">
        <v>61</v>
      </c>
      <c r="E27" s="31" t="s">
        <v>27</v>
      </c>
      <c r="F27" s="31" t="s">
        <v>28</v>
      </c>
      <c r="G27" s="31">
        <v>5.0</v>
      </c>
      <c r="H27" s="31">
        <v>5.0</v>
      </c>
      <c r="I27" s="31">
        <v>5.0</v>
      </c>
      <c r="J27" s="31">
        <v>5.0</v>
      </c>
      <c r="K27" s="31">
        <v>4.0</v>
      </c>
      <c r="L27" s="31">
        <v>3.0</v>
      </c>
      <c r="M27" s="31">
        <v>3.0</v>
      </c>
      <c r="N27" s="31">
        <v>2.0</v>
      </c>
      <c r="O27" s="31">
        <v>1.0</v>
      </c>
      <c r="P27" s="31">
        <v>0.0</v>
      </c>
      <c r="Q27" s="31">
        <v>0.0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 t="str">
        <f t="shared" ref="AE27:AF27" si="7">IF(OR(AE$21="",$G27=""),"",AD27)</f>
        <v/>
      </c>
      <c r="AF27" s="1" t="str">
        <f t="shared" si="7"/>
        <v/>
      </c>
    </row>
    <row r="28" ht="12.75" customHeight="1">
      <c r="D28" s="1"/>
      <c r="F28" s="24" t="str">
        <f t="shared" ref="F28:F63" si="9">IF(C28&lt;&gt;"","Planned","")</f>
        <v/>
      </c>
      <c r="G28" s="1"/>
      <c r="H28" s="1" t="str">
        <f t="shared" ref="H28:H66" si="10">IF(OR(H$21="",$G28=""),"",G28)</f>
        <v/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 t="str">
        <f t="shared" ref="AE28:AF28" si="8">IF(OR(AE$21="",$G28=""),"",AD28)</f>
        <v/>
      </c>
      <c r="AF28" s="1" t="str">
        <f t="shared" si="8"/>
        <v/>
      </c>
    </row>
    <row r="29" ht="12.75" customHeight="1">
      <c r="D29" s="1"/>
      <c r="F29" s="24" t="str">
        <f t="shared" si="9"/>
        <v/>
      </c>
      <c r="G29" s="1"/>
      <c r="H29" s="1" t="str">
        <f t="shared" si="10"/>
        <v/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 t="str">
        <f t="shared" ref="AE29:AF29" si="11">IF(OR(AE$21="",$G29=""),"",AD29)</f>
        <v/>
      </c>
      <c r="AF29" s="1" t="str">
        <f t="shared" si="11"/>
        <v/>
      </c>
    </row>
    <row r="30" ht="12.75" customHeight="1">
      <c r="D30" s="1"/>
      <c r="F30" s="24" t="str">
        <f t="shared" si="9"/>
        <v/>
      </c>
      <c r="G30" s="1"/>
      <c r="H30" s="1" t="str">
        <f t="shared" si="10"/>
        <v/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 t="str">
        <f t="shared" ref="AE30:AF30" si="12">IF(OR(AE$21="",$G30=""),"",AD30)</f>
        <v/>
      </c>
      <c r="AF30" s="1" t="str">
        <f t="shared" si="12"/>
        <v/>
      </c>
    </row>
    <row r="31" ht="12.75" customHeight="1">
      <c r="D31" s="1"/>
      <c r="F31" s="24" t="str">
        <f t="shared" si="9"/>
        <v/>
      </c>
      <c r="G31" s="1"/>
      <c r="H31" s="1" t="str">
        <f t="shared" si="10"/>
        <v/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 t="str">
        <f t="shared" ref="AE31:AF31" si="13">IF(OR(AE$21="",$G31=""),"",AD31)</f>
        <v/>
      </c>
      <c r="AF31" s="1" t="str">
        <f t="shared" si="13"/>
        <v/>
      </c>
    </row>
    <row r="32" ht="12.75" customHeight="1">
      <c r="D32" s="1"/>
      <c r="F32" s="24" t="str">
        <f t="shared" si="9"/>
        <v/>
      </c>
      <c r="G32" s="1"/>
      <c r="H32" s="1" t="str">
        <f t="shared" si="10"/>
        <v/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 t="str">
        <f t="shared" ref="AE32:AF32" si="14">IF(OR(AE$21="",$G32=""),"",AD32)</f>
        <v/>
      </c>
      <c r="AF32" s="1" t="str">
        <f t="shared" si="14"/>
        <v/>
      </c>
    </row>
    <row r="33" ht="12.75" customHeight="1">
      <c r="D33" s="1"/>
      <c r="F33" s="24" t="str">
        <f t="shared" si="9"/>
        <v/>
      </c>
      <c r="G33" s="1"/>
      <c r="H33" s="1" t="str">
        <f t="shared" si="10"/>
        <v/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 t="str">
        <f t="shared" ref="AE33:AF33" si="15">IF(OR(AE$21="",$G33=""),"",AD33)</f>
        <v/>
      </c>
      <c r="AF33" s="1" t="str">
        <f t="shared" si="15"/>
        <v/>
      </c>
    </row>
    <row r="34" ht="12.75" customHeight="1">
      <c r="D34" s="1"/>
      <c r="F34" s="24" t="str">
        <f t="shared" si="9"/>
        <v/>
      </c>
      <c r="G34" s="1"/>
      <c r="H34" s="1" t="str">
        <f t="shared" si="10"/>
        <v/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 t="str">
        <f t="shared" ref="AE34:AF34" si="16">IF(OR(AE$21="",$G34=""),"",AD34)</f>
        <v/>
      </c>
      <c r="AF34" s="1" t="str">
        <f t="shared" si="16"/>
        <v/>
      </c>
    </row>
    <row r="35" ht="12.75" customHeight="1">
      <c r="D35" s="1"/>
      <c r="F35" s="24" t="str">
        <f t="shared" si="9"/>
        <v/>
      </c>
      <c r="G35" s="1"/>
      <c r="H35" s="1" t="str">
        <f t="shared" si="10"/>
        <v/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 t="str">
        <f t="shared" ref="AE35:AF35" si="17">IF(OR(AE$21="",$G35=""),"",AD35)</f>
        <v/>
      </c>
      <c r="AF35" s="1" t="str">
        <f t="shared" si="17"/>
        <v/>
      </c>
    </row>
    <row r="36" ht="12.75" customHeight="1">
      <c r="D36" s="1"/>
      <c r="F36" s="24" t="str">
        <f t="shared" si="9"/>
        <v/>
      </c>
      <c r="G36" s="1"/>
      <c r="H36" s="1" t="str">
        <f t="shared" si="10"/>
        <v/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 t="str">
        <f t="shared" ref="AE36:AF36" si="18">IF(OR(AE$21="",$G36=""),"",AD36)</f>
        <v/>
      </c>
      <c r="AF36" s="1" t="str">
        <f t="shared" si="18"/>
        <v/>
      </c>
    </row>
    <row r="37" ht="12.75" customHeight="1">
      <c r="D37" s="1"/>
      <c r="F37" s="24" t="str">
        <f t="shared" si="9"/>
        <v/>
      </c>
      <c r="G37" s="1"/>
      <c r="H37" s="1" t="str">
        <f t="shared" si="10"/>
        <v/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 t="str">
        <f t="shared" ref="AE37:AF37" si="19">IF(OR(AE$21="",$G37=""),"",AD37)</f>
        <v/>
      </c>
      <c r="AF37" s="1" t="str">
        <f t="shared" si="19"/>
        <v/>
      </c>
    </row>
    <row r="38" ht="12.75" customHeight="1">
      <c r="D38" s="1"/>
      <c r="F38" s="24" t="str">
        <f t="shared" si="9"/>
        <v/>
      </c>
      <c r="G38" s="1"/>
      <c r="H38" s="1" t="str">
        <f t="shared" si="10"/>
        <v/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 t="str">
        <f t="shared" ref="AE38:AF38" si="20">IF(OR(AE$21="",$G38=""),"",AD38)</f>
        <v/>
      </c>
      <c r="AF38" s="1" t="str">
        <f t="shared" si="20"/>
        <v/>
      </c>
    </row>
    <row r="39" ht="12.75" customHeight="1">
      <c r="D39" s="1"/>
      <c r="F39" s="24" t="str">
        <f t="shared" si="9"/>
        <v/>
      </c>
      <c r="G39" s="1"/>
      <c r="H39" s="1" t="str">
        <f t="shared" si="10"/>
        <v/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 t="str">
        <f t="shared" ref="AE39:AF39" si="21">IF(OR(AE$21="",$G39=""),"",AD39)</f>
        <v/>
      </c>
      <c r="AF39" s="1" t="str">
        <f t="shared" si="21"/>
        <v/>
      </c>
    </row>
    <row r="40" ht="12.75" customHeight="1">
      <c r="D40" s="1"/>
      <c r="F40" s="24" t="str">
        <f t="shared" si="9"/>
        <v/>
      </c>
      <c r="G40" s="1"/>
      <c r="H40" s="1" t="str">
        <f t="shared" si="10"/>
        <v/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 t="str">
        <f t="shared" ref="AE40:AF40" si="22">IF(OR(AE$21="",$G40=""),"",AD40)</f>
        <v/>
      </c>
      <c r="AF40" s="1" t="str">
        <f t="shared" si="22"/>
        <v/>
      </c>
    </row>
    <row r="41" ht="12.75" customHeight="1">
      <c r="D41" s="1"/>
      <c r="F41" s="24" t="str">
        <f t="shared" si="9"/>
        <v/>
      </c>
      <c r="G41" s="1"/>
      <c r="H41" s="1" t="str">
        <f t="shared" si="10"/>
        <v/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 t="str">
        <f t="shared" ref="AE41:AF41" si="23">IF(OR(AE$21="",$G41=""),"",AD41)</f>
        <v/>
      </c>
      <c r="AF41" s="1" t="str">
        <f t="shared" si="23"/>
        <v/>
      </c>
    </row>
    <row r="42" ht="12.75" customHeight="1">
      <c r="D42" s="1"/>
      <c r="F42" s="24" t="str">
        <f t="shared" si="9"/>
        <v/>
      </c>
      <c r="G42" s="1"/>
      <c r="H42" s="1" t="str">
        <f t="shared" si="10"/>
        <v/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 t="str">
        <f t="shared" ref="AE42:AF42" si="24">IF(OR(AE$21="",$G42=""),"",AD42)</f>
        <v/>
      </c>
      <c r="AF42" s="1" t="str">
        <f t="shared" si="24"/>
        <v/>
      </c>
    </row>
    <row r="43" ht="12.75" customHeight="1">
      <c r="D43" s="1"/>
      <c r="F43" s="24" t="str">
        <f t="shared" si="9"/>
        <v/>
      </c>
      <c r="G43" s="1"/>
      <c r="H43" s="1" t="str">
        <f t="shared" si="10"/>
        <v/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 t="str">
        <f t="shared" ref="AE43:AF43" si="25">IF(OR(AE$21="",$G43=""),"",AD43)</f>
        <v/>
      </c>
      <c r="AF43" s="1" t="str">
        <f t="shared" si="25"/>
        <v/>
      </c>
    </row>
    <row r="44" ht="12.75" customHeight="1">
      <c r="D44" s="1"/>
      <c r="F44" s="24" t="str">
        <f t="shared" si="9"/>
        <v/>
      </c>
      <c r="G44" s="1"/>
      <c r="H44" s="1" t="str">
        <f t="shared" si="10"/>
        <v/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 t="str">
        <f t="shared" ref="AE44:AF44" si="26">IF(OR(AE$21="",$G44=""),"",AD44)</f>
        <v/>
      </c>
      <c r="AF44" s="1" t="str">
        <f t="shared" si="26"/>
        <v/>
      </c>
    </row>
    <row r="45" ht="12.75" customHeight="1">
      <c r="D45" s="1"/>
      <c r="F45" s="24" t="str">
        <f t="shared" si="9"/>
        <v/>
      </c>
      <c r="G45" s="1"/>
      <c r="H45" s="1" t="str">
        <f t="shared" si="10"/>
        <v/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 t="str">
        <f t="shared" ref="AE45:AF45" si="27">IF(OR(AE$21="",$G45=""),"",AD45)</f>
        <v/>
      </c>
      <c r="AF45" s="1" t="str">
        <f t="shared" si="27"/>
        <v/>
      </c>
    </row>
    <row r="46" ht="12.75" customHeight="1">
      <c r="D46" s="1"/>
      <c r="F46" s="24" t="str">
        <f t="shared" si="9"/>
        <v/>
      </c>
      <c r="G46" s="1"/>
      <c r="H46" s="1" t="str">
        <f t="shared" si="10"/>
        <v/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 t="str">
        <f t="shared" ref="AE46:AF46" si="28">IF(OR(AE$21="",$G46=""),"",AD46)</f>
        <v/>
      </c>
      <c r="AF46" s="1" t="str">
        <f t="shared" si="28"/>
        <v/>
      </c>
    </row>
    <row r="47" ht="12.75" customHeight="1">
      <c r="D47" s="1"/>
      <c r="F47" s="24" t="str">
        <f t="shared" si="9"/>
        <v/>
      </c>
      <c r="G47" s="1"/>
      <c r="H47" s="1" t="str">
        <f t="shared" si="10"/>
        <v/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 t="str">
        <f t="shared" ref="AE47:AF47" si="29">IF(OR(AE$21="",$G47=""),"",AD47)</f>
        <v/>
      </c>
      <c r="AF47" s="1" t="str">
        <f t="shared" si="29"/>
        <v/>
      </c>
    </row>
    <row r="48" ht="12.75" customHeight="1">
      <c r="D48" s="1"/>
      <c r="F48" s="24" t="str">
        <f t="shared" si="9"/>
        <v/>
      </c>
      <c r="G48" s="1"/>
      <c r="H48" s="1" t="str">
        <f t="shared" si="10"/>
        <v/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 t="str">
        <f t="shared" ref="AE48:AF48" si="30">IF(OR(AE$21="",$G48=""),"",AD48)</f>
        <v/>
      </c>
      <c r="AF48" s="1" t="str">
        <f t="shared" si="30"/>
        <v/>
      </c>
    </row>
    <row r="49" ht="12.75" customHeight="1">
      <c r="D49" s="1"/>
      <c r="F49" s="24" t="str">
        <f t="shared" si="9"/>
        <v/>
      </c>
      <c r="G49" s="1"/>
      <c r="H49" s="1" t="str">
        <f t="shared" si="10"/>
        <v/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 t="str">
        <f t="shared" ref="AE49:AF49" si="31">IF(OR(AE$21="",$G49=""),"",AD49)</f>
        <v/>
      </c>
      <c r="AF49" s="1" t="str">
        <f t="shared" si="31"/>
        <v/>
      </c>
    </row>
    <row r="50" ht="12.75" customHeight="1">
      <c r="D50" s="1"/>
      <c r="F50" s="24" t="str">
        <f t="shared" si="9"/>
        <v/>
      </c>
      <c r="G50" s="1"/>
      <c r="H50" s="1" t="str">
        <f t="shared" si="10"/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 t="str">
        <f t="shared" ref="AE50:AF50" si="32">IF(OR(AE$21="",$G50=""),"",AD50)</f>
        <v/>
      </c>
      <c r="AF50" s="1" t="str">
        <f t="shared" si="32"/>
        <v/>
      </c>
    </row>
    <row r="51" ht="12.75" customHeight="1">
      <c r="D51" s="1"/>
      <c r="F51" s="24" t="str">
        <f t="shared" si="9"/>
        <v/>
      </c>
      <c r="G51" s="1"/>
      <c r="H51" s="1" t="str">
        <f t="shared" si="10"/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 t="str">
        <f t="shared" ref="AE51:AF51" si="33">IF(OR(AE$21="",$G51=""),"",AD51)</f>
        <v/>
      </c>
      <c r="AF51" s="1" t="str">
        <f t="shared" si="33"/>
        <v/>
      </c>
    </row>
    <row r="52" ht="12.75" customHeight="1">
      <c r="D52" s="1"/>
      <c r="F52" s="24" t="str">
        <f t="shared" si="9"/>
        <v/>
      </c>
      <c r="G52" s="1"/>
      <c r="H52" s="1" t="str">
        <f t="shared" si="10"/>
        <v/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 t="str">
        <f t="shared" ref="AE52:AF52" si="34">IF(OR(AE$21="",$G52=""),"",AD52)</f>
        <v/>
      </c>
      <c r="AF52" s="1" t="str">
        <f t="shared" si="34"/>
        <v/>
      </c>
    </row>
    <row r="53" ht="12.75" customHeight="1">
      <c r="D53" s="1"/>
      <c r="F53" s="24" t="str">
        <f t="shared" si="9"/>
        <v/>
      </c>
      <c r="G53" s="1"/>
      <c r="H53" s="1" t="str">
        <f t="shared" si="10"/>
        <v/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 t="str">
        <f t="shared" ref="AE53:AF53" si="35">IF(OR(AE$21="",$G53=""),"",AD53)</f>
        <v/>
      </c>
      <c r="AF53" s="1" t="str">
        <f t="shared" si="35"/>
        <v/>
      </c>
    </row>
    <row r="54" ht="12.75" customHeight="1">
      <c r="D54" s="1"/>
      <c r="F54" s="24" t="str">
        <f t="shared" si="9"/>
        <v/>
      </c>
      <c r="G54" s="1"/>
      <c r="H54" s="1" t="str">
        <f t="shared" si="10"/>
        <v/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 t="str">
        <f t="shared" ref="AE54:AF54" si="36">IF(OR(AE$21="",$G54=""),"",AD54)</f>
        <v/>
      </c>
      <c r="AF54" s="1" t="str">
        <f t="shared" si="36"/>
        <v/>
      </c>
    </row>
    <row r="55" ht="12.75" customHeight="1">
      <c r="D55" s="1"/>
      <c r="F55" s="24" t="str">
        <f t="shared" si="9"/>
        <v/>
      </c>
      <c r="G55" s="1"/>
      <c r="H55" s="1" t="str">
        <f t="shared" si="10"/>
        <v/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 t="str">
        <f t="shared" ref="AE55:AF55" si="37">IF(OR(AE$21="",$G55=""),"",AD55)</f>
        <v/>
      </c>
      <c r="AF55" s="1" t="str">
        <f t="shared" si="37"/>
        <v/>
      </c>
    </row>
    <row r="56" ht="12.75" customHeight="1">
      <c r="D56" s="1"/>
      <c r="F56" s="24" t="str">
        <f t="shared" si="9"/>
        <v/>
      </c>
      <c r="G56" s="1"/>
      <c r="H56" s="1" t="str">
        <f t="shared" si="10"/>
        <v/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 t="str">
        <f t="shared" ref="AE56:AF56" si="38">IF(OR(AE$21="",$G56=""),"",AD56)</f>
        <v/>
      </c>
      <c r="AF56" s="1" t="str">
        <f t="shared" si="38"/>
        <v/>
      </c>
    </row>
    <row r="57" ht="12.75" customHeight="1">
      <c r="D57" s="1"/>
      <c r="F57" s="24" t="str">
        <f t="shared" si="9"/>
        <v/>
      </c>
      <c r="G57" s="1"/>
      <c r="H57" s="1" t="str">
        <f t="shared" si="10"/>
        <v/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 t="str">
        <f t="shared" ref="AE57:AF57" si="39">IF(OR(AE$21="",$G57=""),"",AD57)</f>
        <v/>
      </c>
      <c r="AF57" s="1" t="str">
        <f t="shared" si="39"/>
        <v/>
      </c>
    </row>
    <row r="58" ht="12.75" customHeight="1">
      <c r="D58" s="1"/>
      <c r="F58" s="24" t="str">
        <f t="shared" si="9"/>
        <v/>
      </c>
      <c r="G58" s="1"/>
      <c r="H58" s="1" t="str">
        <f t="shared" si="10"/>
        <v/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 t="str">
        <f t="shared" ref="AE58:AF58" si="40">IF(OR(AE$21="",$G58=""),"",AD58)</f>
        <v/>
      </c>
      <c r="AF58" s="1" t="str">
        <f t="shared" si="40"/>
        <v/>
      </c>
    </row>
    <row r="59" ht="12.75" customHeight="1">
      <c r="D59" s="1"/>
      <c r="F59" s="24" t="str">
        <f t="shared" si="9"/>
        <v/>
      </c>
      <c r="G59" s="1"/>
      <c r="H59" s="1" t="str">
        <f t="shared" si="10"/>
        <v/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 t="str">
        <f t="shared" ref="AE59:AF59" si="41">IF(OR(AE$21="",$G59=""),"",AD59)</f>
        <v/>
      </c>
      <c r="AF59" s="1" t="str">
        <f t="shared" si="41"/>
        <v/>
      </c>
    </row>
    <row r="60" ht="12.75" customHeight="1">
      <c r="D60" s="1"/>
      <c r="F60" s="24" t="str">
        <f t="shared" si="9"/>
        <v/>
      </c>
      <c r="G60" s="1"/>
      <c r="H60" s="1" t="str">
        <f t="shared" si="10"/>
        <v/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 t="str">
        <f t="shared" ref="AE60:AF60" si="42">IF(OR(AE$21="",$G60=""),"",AD60)</f>
        <v/>
      </c>
      <c r="AF60" s="1" t="str">
        <f t="shared" si="42"/>
        <v/>
      </c>
    </row>
    <row r="61" ht="12.75" customHeight="1">
      <c r="D61" s="1"/>
      <c r="F61" s="24" t="str">
        <f t="shared" si="9"/>
        <v/>
      </c>
      <c r="G61" s="1"/>
      <c r="H61" s="1" t="str">
        <f t="shared" si="10"/>
        <v/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 t="str">
        <f t="shared" ref="AE61:AF61" si="43">IF(OR(AE$21="",$G61=""),"",AD61)</f>
        <v/>
      </c>
      <c r="AF61" s="1" t="str">
        <f t="shared" si="43"/>
        <v/>
      </c>
    </row>
    <row r="62" ht="12.75" customHeight="1">
      <c r="D62" s="1"/>
      <c r="F62" s="24" t="str">
        <f t="shared" si="9"/>
        <v/>
      </c>
      <c r="G62" s="1"/>
      <c r="H62" s="1" t="str">
        <f t="shared" si="10"/>
        <v/>
      </c>
      <c r="I62" s="1" t="str">
        <f t="shared" ref="I62:AF62" si="44">IF(OR(I$21="",$G62=""),"",H62)</f>
        <v/>
      </c>
      <c r="J62" s="1" t="str">
        <f t="shared" si="44"/>
        <v/>
      </c>
      <c r="K62" s="1" t="str">
        <f t="shared" si="44"/>
        <v/>
      </c>
      <c r="L62" s="1" t="str">
        <f t="shared" si="44"/>
        <v/>
      </c>
      <c r="M62" s="1" t="str">
        <f t="shared" si="44"/>
        <v/>
      </c>
      <c r="N62" s="1" t="str">
        <f t="shared" si="44"/>
        <v/>
      </c>
      <c r="O62" s="1" t="str">
        <f t="shared" si="44"/>
        <v/>
      </c>
      <c r="P62" s="1" t="str">
        <f t="shared" si="44"/>
        <v/>
      </c>
      <c r="Q62" s="1" t="str">
        <f t="shared" si="44"/>
        <v/>
      </c>
      <c r="R62" s="1" t="str">
        <f t="shared" si="44"/>
        <v/>
      </c>
      <c r="S62" s="1" t="str">
        <f t="shared" si="44"/>
        <v/>
      </c>
      <c r="T62" s="1" t="str">
        <f t="shared" si="44"/>
        <v/>
      </c>
      <c r="U62" s="1" t="str">
        <f t="shared" si="44"/>
        <v/>
      </c>
      <c r="V62" s="1" t="str">
        <f t="shared" si="44"/>
        <v/>
      </c>
      <c r="W62" s="1" t="str">
        <f t="shared" si="44"/>
        <v/>
      </c>
      <c r="X62" s="1" t="str">
        <f t="shared" si="44"/>
        <v/>
      </c>
      <c r="Y62" s="1" t="str">
        <f t="shared" si="44"/>
        <v/>
      </c>
      <c r="Z62" s="1" t="str">
        <f t="shared" si="44"/>
        <v/>
      </c>
      <c r="AA62" s="1" t="str">
        <f t="shared" si="44"/>
        <v/>
      </c>
      <c r="AB62" s="1" t="str">
        <f t="shared" si="44"/>
        <v/>
      </c>
      <c r="AC62" s="1" t="str">
        <f t="shared" si="44"/>
        <v/>
      </c>
      <c r="AD62" s="1" t="str">
        <f t="shared" si="44"/>
        <v/>
      </c>
      <c r="AE62" s="1" t="str">
        <f t="shared" si="44"/>
        <v/>
      </c>
      <c r="AF62" s="1" t="str">
        <f t="shared" si="44"/>
        <v/>
      </c>
    </row>
    <row r="63" ht="12.75" customHeight="1">
      <c r="D63" s="1"/>
      <c r="F63" s="24" t="str">
        <f t="shared" si="9"/>
        <v/>
      </c>
      <c r="G63" s="1"/>
      <c r="H63" s="1" t="str">
        <f t="shared" si="10"/>
        <v/>
      </c>
      <c r="I63" s="1" t="str">
        <f t="shared" ref="I63:AF63" si="45">IF(OR(I$21="",$G63=""),"",H63)</f>
        <v/>
      </c>
      <c r="J63" s="1" t="str">
        <f t="shared" si="45"/>
        <v/>
      </c>
      <c r="K63" s="1" t="str">
        <f t="shared" si="45"/>
        <v/>
      </c>
      <c r="L63" s="1" t="str">
        <f t="shared" si="45"/>
        <v/>
      </c>
      <c r="M63" s="1" t="str">
        <f t="shared" si="45"/>
        <v/>
      </c>
      <c r="N63" s="1" t="str">
        <f t="shared" si="45"/>
        <v/>
      </c>
      <c r="O63" s="1" t="str">
        <f t="shared" si="45"/>
        <v/>
      </c>
      <c r="P63" s="1" t="str">
        <f t="shared" si="45"/>
        <v/>
      </c>
      <c r="Q63" s="1" t="str">
        <f t="shared" si="45"/>
        <v/>
      </c>
      <c r="R63" s="1" t="str">
        <f t="shared" si="45"/>
        <v/>
      </c>
      <c r="S63" s="1" t="str">
        <f t="shared" si="45"/>
        <v/>
      </c>
      <c r="T63" s="1" t="str">
        <f t="shared" si="45"/>
        <v/>
      </c>
      <c r="U63" s="1" t="str">
        <f t="shared" si="45"/>
        <v/>
      </c>
      <c r="V63" s="1" t="str">
        <f t="shared" si="45"/>
        <v/>
      </c>
      <c r="W63" s="1" t="str">
        <f t="shared" si="45"/>
        <v/>
      </c>
      <c r="X63" s="1" t="str">
        <f t="shared" si="45"/>
        <v/>
      </c>
      <c r="Y63" s="1" t="str">
        <f t="shared" si="45"/>
        <v/>
      </c>
      <c r="Z63" s="1" t="str">
        <f t="shared" si="45"/>
        <v/>
      </c>
      <c r="AA63" s="1" t="str">
        <f t="shared" si="45"/>
        <v/>
      </c>
      <c r="AB63" s="1" t="str">
        <f t="shared" si="45"/>
        <v/>
      </c>
      <c r="AC63" s="1" t="str">
        <f t="shared" si="45"/>
        <v/>
      </c>
      <c r="AD63" s="1" t="str">
        <f t="shared" si="45"/>
        <v/>
      </c>
      <c r="AE63" s="1" t="str">
        <f t="shared" si="45"/>
        <v/>
      </c>
      <c r="AF63" s="1" t="str">
        <f t="shared" si="45"/>
        <v/>
      </c>
    </row>
    <row r="64" ht="12.75" customHeight="1">
      <c r="D64" s="1"/>
      <c r="F64" s="24" t="s">
        <v>47</v>
      </c>
      <c r="G64" s="1"/>
      <c r="H64" s="1" t="str">
        <f t="shared" si="10"/>
        <v/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 t="str">
        <f t="shared" ref="AE64:AF64" si="46">IF(OR(AE$21="",$G64=""),"",AD64)</f>
        <v/>
      </c>
      <c r="AF64" s="1" t="str">
        <f t="shared" si="46"/>
        <v/>
      </c>
    </row>
    <row r="65" ht="12.75" customHeight="1">
      <c r="D65" s="1"/>
      <c r="F65" s="24" t="s">
        <v>48</v>
      </c>
      <c r="G65" s="1"/>
      <c r="H65" s="1" t="str">
        <f t="shared" si="10"/>
        <v/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 t="str">
        <f t="shared" ref="AE65:AF65" si="47">IF(OR(AE$21="",$G65=""),"",AD65)</f>
        <v/>
      </c>
      <c r="AF65" s="1" t="str">
        <f t="shared" si="47"/>
        <v/>
      </c>
    </row>
    <row r="66" ht="12.75" customHeight="1">
      <c r="D66" s="1"/>
      <c r="F66" s="24" t="s">
        <v>49</v>
      </c>
      <c r="G66" s="1"/>
      <c r="H66" s="1" t="str">
        <f t="shared" si="10"/>
        <v/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ht="12.75" customHeight="1">
      <c r="D67" s="1"/>
      <c r="F67" s="24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ht="12.75" customHeight="1">
      <c r="D68" s="1"/>
      <c r="F68" s="24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ht="12.75" customHeight="1">
      <c r="D69" s="1"/>
      <c r="F69" s="24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ht="12.75" customHeight="1">
      <c r="D70" s="1"/>
      <c r="F70" s="24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ht="12.75" customHeight="1">
      <c r="A71" s="1"/>
      <c r="D71" s="1"/>
      <c r="F71" s="24" t="str">
        <f>IF(C71&lt;&gt;"","Planned","")</f>
        <v/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ht="12.75" customHeight="1">
      <c r="D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ht="12.75" customHeight="1">
      <c r="D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ht="12.75" customHeight="1">
      <c r="D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ht="12.75" customHeight="1">
      <c r="D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ht="12.75" customHeight="1">
      <c r="D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ht="12.75" customHeight="1">
      <c r="D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ht="12.75" customHeight="1">
      <c r="D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ht="12.75" customHeight="1">
      <c r="D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ht="12.75" customHeight="1">
      <c r="D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ht="12.75" customHeight="1">
      <c r="D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ht="12.75" customHeight="1">
      <c r="D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ht="12.75" customHeight="1">
      <c r="D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ht="12.75" customHeight="1">
      <c r="D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ht="12.75" customHeight="1">
      <c r="D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ht="12.75" customHeight="1">
      <c r="D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ht="12.75" customHeight="1">
      <c r="D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ht="12.75" customHeight="1">
      <c r="D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ht="12.75" customHeight="1">
      <c r="D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ht="12.75" customHeight="1">
      <c r="D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ht="12.75" customHeight="1">
      <c r="D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ht="12.75" customHeight="1">
      <c r="D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ht="12.75" customHeight="1">
      <c r="D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ht="12.75" customHeight="1">
      <c r="D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ht="12.75" customHeight="1">
      <c r="D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ht="12.75" customHeight="1">
      <c r="D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ht="12.75" customHeight="1">
      <c r="D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ht="12.75" customHeight="1">
      <c r="D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ht="12.75" customHeight="1">
      <c r="D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ht="12.75" customHeight="1">
      <c r="D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ht="12.75" customHeight="1">
      <c r="D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ht="12.75" customHeight="1">
      <c r="D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ht="12.75" customHeight="1">
      <c r="D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ht="12.75" customHeight="1">
      <c r="D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ht="12.75" customHeight="1">
      <c r="D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ht="12.75" customHeight="1">
      <c r="D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ht="12.75" customHeight="1">
      <c r="D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ht="12.75" customHeight="1">
      <c r="D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ht="12.75" customHeight="1">
      <c r="D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ht="12.75" customHeight="1">
      <c r="D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ht="12.75" customHeight="1">
      <c r="D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ht="12.75" customHeight="1">
      <c r="D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ht="12.75" customHeight="1">
      <c r="D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ht="12.75" customHeight="1">
      <c r="D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ht="12.75" customHeight="1">
      <c r="D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ht="12.75" customHeight="1">
      <c r="D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ht="12.75" customHeight="1">
      <c r="D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ht="12.75" customHeight="1">
      <c r="D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ht="12.75" customHeight="1">
      <c r="D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ht="12.75" customHeight="1">
      <c r="D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ht="12.75" customHeight="1">
      <c r="D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ht="12.75" customHeight="1">
      <c r="D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ht="12.75" customHeight="1">
      <c r="D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ht="12.75" customHeight="1">
      <c r="D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ht="12.75" customHeight="1">
      <c r="D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ht="12.75" customHeight="1">
      <c r="D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ht="12.75" customHeight="1">
      <c r="D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ht="12.75" customHeight="1">
      <c r="D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ht="12.75" customHeight="1">
      <c r="D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ht="12.75" customHeight="1">
      <c r="D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ht="12.75" customHeight="1">
      <c r="D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ht="12.75" customHeight="1">
      <c r="D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ht="12.75" customHeight="1">
      <c r="D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ht="12.75" customHeight="1">
      <c r="D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ht="12.75" customHeight="1">
      <c r="D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ht="12.75" customHeight="1">
      <c r="D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ht="12.75" customHeight="1">
      <c r="D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ht="12.75" customHeight="1">
      <c r="D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ht="12.75" customHeight="1">
      <c r="D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ht="12.75" customHeight="1">
      <c r="D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ht="12.75" customHeight="1">
      <c r="D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ht="12.75" customHeight="1">
      <c r="D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ht="12.75" customHeight="1">
      <c r="D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ht="12.75" customHeight="1">
      <c r="D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ht="12.75" customHeight="1">
      <c r="D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ht="12.75" customHeight="1">
      <c r="D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ht="12.75" customHeight="1">
      <c r="D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ht="12.75" customHeight="1">
      <c r="D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ht="12.75" customHeight="1">
      <c r="D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ht="12.75" customHeight="1">
      <c r="D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ht="12.75" customHeight="1">
      <c r="D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ht="12.75" customHeight="1">
      <c r="D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ht="12.75" customHeight="1">
      <c r="D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ht="12.75" customHeight="1">
      <c r="D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ht="12.75" customHeight="1">
      <c r="D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ht="12.75" customHeight="1">
      <c r="D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ht="12.75" customHeight="1">
      <c r="D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ht="12.75" customHeight="1">
      <c r="D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ht="12.75" customHeight="1">
      <c r="D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ht="12.75" customHeight="1">
      <c r="D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ht="12.75" customHeight="1">
      <c r="D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ht="12.75" customHeight="1">
      <c r="D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ht="12.75" customHeight="1">
      <c r="D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ht="12.75" customHeight="1">
      <c r="D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ht="12.75" customHeight="1">
      <c r="D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ht="12.75" customHeight="1">
      <c r="D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ht="12.75" customHeight="1">
      <c r="D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ht="12.75" customHeight="1">
      <c r="D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ht="12.75" customHeight="1">
      <c r="D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ht="12.75" customHeight="1">
      <c r="D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ht="12.75" customHeight="1">
      <c r="D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ht="12.75" customHeight="1">
      <c r="D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ht="12.75" customHeight="1">
      <c r="D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ht="12.75" customHeight="1">
      <c r="D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ht="12.75" customHeight="1">
      <c r="D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ht="12.75" customHeight="1">
      <c r="D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ht="12.75" customHeight="1">
      <c r="D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ht="12.75" customHeight="1">
      <c r="D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ht="12.75" customHeight="1">
      <c r="D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ht="12.75" customHeight="1">
      <c r="D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ht="12.75" customHeight="1">
      <c r="D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ht="12.75" customHeight="1">
      <c r="D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ht="12.75" customHeight="1">
      <c r="D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ht="12.75" customHeight="1">
      <c r="D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ht="12.75" customHeight="1">
      <c r="D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ht="12.75" customHeight="1">
      <c r="D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ht="12.75" customHeight="1">
      <c r="D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ht="12.75" customHeight="1">
      <c r="D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ht="12.75" customHeight="1">
      <c r="D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ht="12.75" customHeight="1">
      <c r="D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ht="12.75" customHeight="1">
      <c r="D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ht="12.75" customHeight="1">
      <c r="D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ht="12.75" customHeight="1">
      <c r="D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ht="12.75" customHeight="1">
      <c r="D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ht="12.75" customHeight="1">
      <c r="D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ht="12.75" customHeight="1">
      <c r="D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ht="12.75" customHeight="1">
      <c r="D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ht="12.75" customHeight="1">
      <c r="D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ht="12.75" customHeight="1">
      <c r="D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ht="12.75" customHeight="1">
      <c r="D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ht="12.75" customHeight="1">
      <c r="D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ht="12.75" customHeight="1">
      <c r="D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ht="12.75" customHeight="1">
      <c r="D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ht="12.75" customHeight="1">
      <c r="D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ht="12.75" customHeight="1">
      <c r="D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ht="12.75" customHeight="1">
      <c r="D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ht="12.75" customHeight="1">
      <c r="D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ht="12.75" customHeight="1">
      <c r="D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ht="12.75" customHeight="1">
      <c r="D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ht="12.75" customHeight="1">
      <c r="D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ht="12.75" customHeight="1">
      <c r="D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ht="12.75" customHeight="1">
      <c r="D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ht="12.75" customHeight="1">
      <c r="D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ht="12.75" customHeight="1">
      <c r="D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ht="12.75" customHeight="1">
      <c r="D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ht="12.75" customHeight="1">
      <c r="D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ht="12.75" customHeight="1">
      <c r="D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ht="12.75" customHeight="1">
      <c r="D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ht="12.75" customHeight="1">
      <c r="D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ht="12.75" customHeight="1">
      <c r="D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ht="12.75" customHeight="1">
      <c r="D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ht="12.75" customHeight="1">
      <c r="D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ht="12.75" customHeight="1">
      <c r="D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ht="12.75" customHeight="1">
      <c r="D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ht="12.75" customHeight="1">
      <c r="D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ht="12.75" customHeight="1">
      <c r="D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ht="12.75" customHeight="1">
      <c r="D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ht="12.75" customHeight="1">
      <c r="D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ht="12.75" customHeight="1">
      <c r="D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ht="12.75" customHeight="1">
      <c r="D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ht="12.75" customHeight="1">
      <c r="D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ht="12.75" customHeight="1">
      <c r="D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ht="12.75" customHeight="1">
      <c r="D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ht="12.75" customHeight="1">
      <c r="D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ht="12.75" customHeight="1">
      <c r="D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ht="12.75" customHeight="1">
      <c r="D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ht="12.75" customHeight="1">
      <c r="D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ht="12.75" customHeight="1">
      <c r="D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ht="12.75" customHeight="1">
      <c r="D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ht="12.75" customHeight="1">
      <c r="D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ht="12.75" customHeight="1">
      <c r="D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ht="12.75" customHeight="1">
      <c r="D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ht="12.75" customHeight="1">
      <c r="D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ht="12.75" customHeight="1">
      <c r="D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ht="12.75" customHeight="1">
      <c r="D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ht="12.75" customHeight="1">
      <c r="D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ht="12.75" customHeight="1">
      <c r="D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ht="12.75" customHeight="1">
      <c r="D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ht="12.75" customHeight="1">
      <c r="D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ht="12.75" customHeight="1">
      <c r="D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ht="12.75" customHeight="1">
      <c r="D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ht="12.75" customHeight="1">
      <c r="D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ht="12.75" customHeight="1">
      <c r="D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ht="12.75" customHeight="1">
      <c r="D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ht="12.75" customHeight="1">
      <c r="D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ht="12.75" customHeight="1">
      <c r="D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ht="12.75" customHeight="1">
      <c r="D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ht="12.75" customHeight="1">
      <c r="D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ht="12.75" customHeight="1">
      <c r="D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ht="12.75" customHeight="1">
      <c r="D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ht="12.75" customHeight="1">
      <c r="D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ht="12.75" customHeight="1">
      <c r="D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ht="12.75" customHeight="1">
      <c r="D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ht="12.75" customHeight="1">
      <c r="D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ht="12.75" customHeight="1">
      <c r="D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ht="12.75" customHeight="1">
      <c r="D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ht="12.75" customHeight="1">
      <c r="D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ht="12.75" customHeight="1">
      <c r="D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ht="12.75" customHeight="1">
      <c r="D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ht="12.75" customHeight="1">
      <c r="D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ht="12.75" customHeight="1">
      <c r="D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ht="12.75" customHeight="1">
      <c r="D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ht="12.75" customHeight="1">
      <c r="D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ht="12.75" customHeight="1">
      <c r="D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ht="12.75" customHeight="1">
      <c r="D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ht="12.75" customHeight="1">
      <c r="D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ht="12.75" customHeight="1">
      <c r="D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ht="12.75" customHeight="1">
      <c r="D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ht="12.75" customHeight="1">
      <c r="D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ht="12.75" customHeight="1">
      <c r="D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ht="12.75" customHeight="1">
      <c r="D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ht="12.75" customHeight="1">
      <c r="D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ht="12.75" customHeight="1">
      <c r="D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ht="12.75" customHeight="1">
      <c r="D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ht="12.75" customHeight="1">
      <c r="D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ht="12.75" customHeight="1">
      <c r="D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ht="12.75" customHeight="1">
      <c r="D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ht="12.75" customHeight="1">
      <c r="D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ht="12.75" customHeight="1">
      <c r="D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ht="12.75" customHeight="1">
      <c r="D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ht="12.75" customHeight="1">
      <c r="D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ht="12.75" customHeight="1">
      <c r="D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ht="12.75" customHeight="1">
      <c r="D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ht="12.75" customHeight="1">
      <c r="D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ht="12.75" customHeight="1">
      <c r="D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ht="12.75" customHeight="1">
      <c r="D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ht="12.75" customHeight="1">
      <c r="D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ht="12.75" customHeight="1">
      <c r="D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ht="12.75" customHeight="1">
      <c r="D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ht="12.75" customHeight="1">
      <c r="D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ht="12.75" customHeight="1">
      <c r="D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ht="12.75" customHeight="1">
      <c r="D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ht="12.75" customHeight="1">
      <c r="D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ht="12.75" customHeight="1">
      <c r="D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ht="12.75" customHeight="1">
      <c r="D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ht="12.75" customHeight="1">
      <c r="D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ht="12.75" customHeight="1">
      <c r="D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ht="12.75" customHeight="1">
      <c r="D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ht="12.75" customHeight="1">
      <c r="D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ht="12.75" customHeight="1">
      <c r="D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ht="12.75" customHeight="1">
      <c r="D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ht="12.75" customHeight="1">
      <c r="D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ht="12.75" customHeight="1">
      <c r="D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ht="12.75" customHeight="1">
      <c r="D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ht="12.75" customHeight="1">
      <c r="D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ht="12.75" customHeight="1">
      <c r="D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ht="12.75" customHeight="1">
      <c r="D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ht="12.75" customHeight="1">
      <c r="D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ht="12.75" customHeight="1">
      <c r="D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ht="12.75" customHeight="1">
      <c r="D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ht="12.75" customHeight="1">
      <c r="D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ht="12.75" customHeight="1">
      <c r="D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ht="12.75" customHeight="1">
      <c r="D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ht="12.75" customHeight="1">
      <c r="D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ht="12.75" customHeight="1">
      <c r="D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ht="12.75" customHeight="1">
      <c r="D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ht="12.75" customHeight="1">
      <c r="D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ht="12.75" customHeight="1">
      <c r="D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ht="12.75" customHeight="1">
      <c r="D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ht="12.75" customHeight="1">
      <c r="D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ht="12.75" customHeight="1">
      <c r="D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ht="12.75" customHeight="1">
      <c r="D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ht="12.75" customHeight="1">
      <c r="D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ht="12.75" customHeight="1">
      <c r="D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ht="12.75" customHeight="1">
      <c r="D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ht="12.75" customHeight="1">
      <c r="D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ht="12.75" customHeight="1">
      <c r="D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ht="12.75" customHeight="1">
      <c r="D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ht="12.75" customHeight="1">
      <c r="D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ht="12.75" customHeight="1">
      <c r="D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ht="12.75" customHeight="1">
      <c r="D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ht="12.75" customHeight="1">
      <c r="D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ht="12.75" customHeight="1">
      <c r="D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ht="12.75" customHeight="1">
      <c r="D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ht="12.75" customHeight="1">
      <c r="D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ht="12.75" customHeight="1">
      <c r="D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ht="12.75" customHeight="1">
      <c r="D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ht="12.75" customHeight="1">
      <c r="D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ht="12.75" customHeight="1">
      <c r="D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ht="12.75" customHeight="1">
      <c r="D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ht="12.75" customHeight="1">
      <c r="D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ht="12.75" customHeight="1">
      <c r="D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ht="12.75" customHeight="1">
      <c r="D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ht="12.75" customHeight="1">
      <c r="D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ht="12.75" customHeight="1">
      <c r="D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ht="12.75" customHeight="1">
      <c r="D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ht="12.75" customHeight="1">
      <c r="D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ht="12.75" customHeight="1">
      <c r="D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ht="12.75" customHeight="1">
      <c r="D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ht="12.75" customHeight="1">
      <c r="D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ht="12.75" customHeight="1">
      <c r="D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ht="12.75" customHeight="1">
      <c r="D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ht="12.75" customHeight="1">
      <c r="D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ht="12.75" customHeight="1">
      <c r="D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ht="12.75" customHeight="1">
      <c r="D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ht="12.75" customHeight="1">
      <c r="D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ht="12.75" customHeight="1">
      <c r="D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ht="12.75" customHeight="1">
      <c r="D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ht="12.75" customHeight="1">
      <c r="D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ht="12.75" customHeight="1">
      <c r="D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ht="12.75" customHeight="1">
      <c r="D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ht="12.75" customHeight="1">
      <c r="D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ht="12.75" customHeight="1">
      <c r="D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ht="12.75" customHeight="1">
      <c r="D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ht="12.75" customHeight="1">
      <c r="D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ht="12.75" customHeight="1">
      <c r="D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ht="12.75" customHeight="1">
      <c r="D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ht="12.75" customHeight="1">
      <c r="D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ht="12.75" customHeight="1">
      <c r="D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ht="12.75" customHeight="1">
      <c r="D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ht="12.75" customHeight="1">
      <c r="D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ht="12.75" customHeight="1">
      <c r="D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ht="12.75" customHeight="1">
      <c r="D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ht="12.75" customHeight="1">
      <c r="D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ht="12.75" customHeight="1">
      <c r="D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ht="12.75" customHeight="1">
      <c r="D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ht="12.75" customHeight="1">
      <c r="D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ht="12.75" customHeight="1">
      <c r="D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ht="12.75" customHeight="1">
      <c r="D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ht="12.75" customHeight="1">
      <c r="D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ht="12.75" customHeight="1">
      <c r="D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ht="12.75" customHeight="1">
      <c r="D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ht="12.75" customHeight="1">
      <c r="D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ht="12.75" customHeight="1">
      <c r="D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ht="12.75" customHeight="1">
      <c r="D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ht="12.75" customHeight="1">
      <c r="D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ht="12.75" customHeight="1">
      <c r="D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ht="12.75" customHeight="1">
      <c r="D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ht="12.75" customHeight="1">
      <c r="D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ht="12.75" customHeight="1">
      <c r="D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ht="12.75" customHeight="1">
      <c r="D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ht="12.75" customHeight="1">
      <c r="D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ht="12.75" customHeight="1">
      <c r="D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ht="12.75" customHeight="1">
      <c r="D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ht="12.75" customHeight="1">
      <c r="D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ht="12.75" customHeight="1">
      <c r="D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ht="12.75" customHeight="1">
      <c r="D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ht="12.75" customHeight="1">
      <c r="D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ht="12.75" customHeight="1">
      <c r="D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ht="12.75" customHeight="1">
      <c r="D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ht="12.75" customHeight="1">
      <c r="D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ht="12.75" customHeight="1">
      <c r="D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ht="12.75" customHeight="1">
      <c r="D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ht="12.75" customHeight="1">
      <c r="D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ht="12.75" customHeight="1">
      <c r="D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ht="12.75" customHeight="1">
      <c r="D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ht="12.75" customHeight="1">
      <c r="D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ht="12.75" customHeight="1">
      <c r="D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ht="12.75" customHeight="1">
      <c r="D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ht="12.75" customHeight="1">
      <c r="D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ht="12.75" customHeight="1">
      <c r="D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ht="12.75" customHeight="1">
      <c r="D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ht="12.75" customHeight="1">
      <c r="D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ht="12.75" customHeight="1">
      <c r="D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ht="12.75" customHeight="1">
      <c r="D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ht="12.75" customHeight="1">
      <c r="D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ht="12.75" customHeight="1">
      <c r="D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ht="12.75" customHeight="1">
      <c r="D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ht="12.75" customHeight="1">
      <c r="D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ht="12.75" customHeight="1">
      <c r="D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ht="12.75" customHeight="1">
      <c r="D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ht="12.75" customHeight="1">
      <c r="D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ht="12.75" customHeight="1">
      <c r="D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ht="12.75" customHeight="1">
      <c r="D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ht="12.75" customHeight="1">
      <c r="D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ht="12.75" customHeight="1">
      <c r="D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ht="12.75" customHeight="1">
      <c r="D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ht="12.75" customHeight="1">
      <c r="D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ht="12.75" customHeight="1">
      <c r="D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ht="12.75" customHeight="1">
      <c r="D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ht="12.75" customHeight="1">
      <c r="D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ht="12.75" customHeight="1">
      <c r="D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ht="12.75" customHeight="1">
      <c r="D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ht="12.75" customHeight="1">
      <c r="D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ht="12.75" customHeight="1">
      <c r="D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ht="12.75" customHeight="1">
      <c r="D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ht="12.75" customHeight="1">
      <c r="D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ht="12.75" customHeight="1">
      <c r="D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ht="12.75" customHeight="1">
      <c r="D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ht="12.75" customHeight="1">
      <c r="D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ht="12.75" customHeight="1">
      <c r="D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ht="12.75" customHeight="1">
      <c r="D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ht="12.75" customHeight="1">
      <c r="D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ht="12.75" customHeight="1">
      <c r="D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ht="12.75" customHeight="1">
      <c r="D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ht="12.75" customHeight="1">
      <c r="D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ht="12.75" customHeight="1">
      <c r="D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ht="12.75" customHeight="1">
      <c r="D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ht="12.75" customHeight="1">
      <c r="D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ht="12.75" customHeight="1">
      <c r="D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ht="12.75" customHeight="1">
      <c r="D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ht="12.75" customHeight="1">
      <c r="D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ht="12.75" customHeight="1">
      <c r="D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ht="12.75" customHeight="1">
      <c r="D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ht="12.75" customHeight="1">
      <c r="D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ht="12.75" customHeight="1">
      <c r="D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ht="12.75" customHeight="1">
      <c r="D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ht="12.75" customHeight="1">
      <c r="D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ht="12.75" customHeight="1">
      <c r="D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ht="12.75" customHeight="1">
      <c r="D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ht="12.75" customHeight="1">
      <c r="D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ht="12.75" customHeight="1">
      <c r="D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ht="12.75" customHeight="1">
      <c r="D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ht="12.75" customHeight="1">
      <c r="D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ht="12.75" customHeight="1">
      <c r="D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ht="12.75" customHeight="1">
      <c r="D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ht="12.75" customHeight="1">
      <c r="D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ht="12.75" customHeight="1">
      <c r="D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ht="12.75" customHeight="1">
      <c r="D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ht="12.75" customHeight="1">
      <c r="D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ht="12.75" customHeight="1">
      <c r="D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ht="12.75" customHeight="1">
      <c r="D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ht="12.75" customHeight="1">
      <c r="D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ht="12.75" customHeight="1">
      <c r="D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ht="12.75" customHeight="1">
      <c r="D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ht="12.75" customHeight="1">
      <c r="D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ht="12.75" customHeight="1">
      <c r="D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ht="12.75" customHeight="1">
      <c r="D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ht="12.75" customHeight="1">
      <c r="D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ht="12.75" customHeight="1">
      <c r="D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ht="12.75" customHeight="1">
      <c r="D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ht="12.75" customHeight="1">
      <c r="D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ht="12.75" customHeight="1">
      <c r="D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ht="12.75" customHeight="1">
      <c r="D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ht="12.75" customHeight="1">
      <c r="D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ht="12.75" customHeight="1">
      <c r="D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ht="12.75" customHeight="1">
      <c r="D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ht="12.75" customHeight="1">
      <c r="D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ht="12.75" customHeight="1">
      <c r="D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ht="12.75" customHeight="1">
      <c r="D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ht="12.75" customHeight="1">
      <c r="D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ht="12.75" customHeight="1">
      <c r="D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ht="12.75" customHeight="1">
      <c r="D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ht="12.75" customHeight="1">
      <c r="D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ht="12.75" customHeight="1">
      <c r="D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ht="12.75" customHeight="1">
      <c r="D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ht="12.75" customHeight="1">
      <c r="D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ht="12.75" customHeight="1">
      <c r="D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ht="12.75" customHeight="1">
      <c r="D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ht="12.75" customHeight="1">
      <c r="D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ht="12.75" customHeight="1">
      <c r="D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ht="12.75" customHeight="1">
      <c r="D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ht="12.75" customHeight="1">
      <c r="D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ht="12.75" customHeight="1">
      <c r="D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ht="12.75" customHeight="1">
      <c r="D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ht="12.75" customHeight="1">
      <c r="D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ht="12.75" customHeight="1">
      <c r="D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ht="12.75" customHeight="1">
      <c r="D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ht="12.75" customHeight="1">
      <c r="D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ht="12.75" customHeight="1">
      <c r="D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ht="12.75" customHeight="1">
      <c r="D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ht="12.75" customHeight="1">
      <c r="D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ht="12.75" customHeight="1">
      <c r="D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ht="12.75" customHeight="1">
      <c r="D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ht="12.75" customHeight="1">
      <c r="D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ht="12.75" customHeight="1">
      <c r="D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ht="12.75" customHeight="1">
      <c r="D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ht="12.75" customHeight="1">
      <c r="D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ht="12.75" customHeight="1">
      <c r="D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ht="12.75" customHeight="1">
      <c r="D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ht="12.75" customHeight="1">
      <c r="D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ht="12.75" customHeight="1">
      <c r="D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ht="12.75" customHeight="1">
      <c r="D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ht="12.75" customHeight="1">
      <c r="D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ht="12.75" customHeight="1">
      <c r="D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ht="12.75" customHeight="1">
      <c r="D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ht="12.75" customHeight="1">
      <c r="D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ht="12.75" customHeight="1">
      <c r="D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ht="12.75" customHeight="1">
      <c r="D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ht="12.75" customHeight="1">
      <c r="D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ht="12.75" customHeight="1">
      <c r="D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ht="12.75" customHeight="1">
      <c r="D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ht="12.75" customHeight="1">
      <c r="D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ht="12.75" customHeight="1">
      <c r="D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ht="12.75" customHeight="1">
      <c r="D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ht="12.75" customHeight="1">
      <c r="D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ht="12.75" customHeight="1">
      <c r="D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ht="12.75" customHeight="1">
      <c r="D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ht="12.75" customHeight="1">
      <c r="D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ht="12.75" customHeight="1">
      <c r="D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ht="12.75" customHeight="1">
      <c r="D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ht="12.75" customHeight="1">
      <c r="D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ht="12.75" customHeight="1">
      <c r="D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ht="12.75" customHeight="1">
      <c r="D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ht="12.75" customHeight="1">
      <c r="D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ht="12.75" customHeight="1">
      <c r="D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ht="12.75" customHeight="1">
      <c r="D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ht="12.75" customHeight="1">
      <c r="D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ht="12.75" customHeight="1">
      <c r="D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ht="12.75" customHeight="1">
      <c r="D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ht="12.75" customHeight="1">
      <c r="D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ht="12.75" customHeight="1">
      <c r="D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ht="12.75" customHeight="1">
      <c r="D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ht="12.75" customHeight="1">
      <c r="D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ht="12.75" customHeight="1">
      <c r="D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ht="12.75" customHeight="1">
      <c r="D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ht="12.75" customHeight="1">
      <c r="D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ht="12.75" customHeight="1">
      <c r="D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ht="12.75" customHeight="1">
      <c r="D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ht="12.75" customHeight="1">
      <c r="D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ht="12.75" customHeight="1">
      <c r="D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ht="12.75" customHeight="1">
      <c r="D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ht="12.75" customHeight="1">
      <c r="D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ht="12.75" customHeight="1">
      <c r="D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ht="12.75" customHeight="1">
      <c r="D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ht="12.75" customHeight="1">
      <c r="D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ht="12.75" customHeight="1">
      <c r="D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ht="12.75" customHeight="1">
      <c r="D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ht="12.75" customHeight="1">
      <c r="D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ht="12.75" customHeight="1">
      <c r="D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ht="12.75" customHeight="1">
      <c r="D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ht="12.75" customHeight="1">
      <c r="D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ht="12.75" customHeight="1">
      <c r="D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ht="12.75" customHeight="1">
      <c r="D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ht="12.75" customHeight="1">
      <c r="D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ht="12.75" customHeight="1">
      <c r="D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ht="12.75" customHeight="1">
      <c r="D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ht="12.75" customHeight="1">
      <c r="D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ht="12.75" customHeight="1">
      <c r="D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ht="12.75" customHeight="1">
      <c r="D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ht="12.75" customHeight="1">
      <c r="D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ht="12.75" customHeight="1">
      <c r="D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ht="12.75" customHeight="1">
      <c r="D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ht="12.75" customHeight="1">
      <c r="D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ht="12.75" customHeight="1">
      <c r="D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ht="12.75" customHeight="1">
      <c r="D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ht="12.75" customHeight="1">
      <c r="D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ht="12.75" customHeight="1">
      <c r="D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ht="12.75" customHeight="1">
      <c r="D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ht="12.75" customHeight="1">
      <c r="D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ht="12.75" customHeight="1">
      <c r="D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ht="12.75" customHeight="1">
      <c r="D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ht="12.75" customHeight="1">
      <c r="D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ht="12.75" customHeight="1">
      <c r="D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ht="12.75" customHeight="1">
      <c r="D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ht="12.75" customHeight="1">
      <c r="D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ht="12.75" customHeight="1">
      <c r="D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ht="12.75" customHeight="1">
      <c r="D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ht="12.75" customHeight="1">
      <c r="D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ht="12.75" customHeight="1">
      <c r="D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ht="12.75" customHeight="1">
      <c r="D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ht="12.75" customHeight="1">
      <c r="D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ht="12.75" customHeight="1">
      <c r="D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ht="12.75" customHeight="1">
      <c r="D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ht="12.75" customHeight="1">
      <c r="D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ht="12.75" customHeight="1">
      <c r="D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ht="12.75" customHeight="1">
      <c r="D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ht="12.75" customHeight="1">
      <c r="D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ht="12.75" customHeight="1">
      <c r="D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ht="12.75" customHeight="1">
      <c r="D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ht="12.75" customHeight="1">
      <c r="D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ht="12.75" customHeight="1">
      <c r="D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ht="12.75" customHeight="1">
      <c r="D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ht="12.75" customHeight="1">
      <c r="D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ht="12.75" customHeight="1">
      <c r="D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ht="12.75" customHeight="1">
      <c r="D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ht="12.75" customHeight="1">
      <c r="D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ht="12.75" customHeight="1">
      <c r="D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ht="12.75" customHeight="1">
      <c r="D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ht="12.75" customHeight="1">
      <c r="D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ht="12.75" customHeight="1">
      <c r="D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ht="12.75" customHeight="1">
      <c r="D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ht="12.75" customHeight="1">
      <c r="D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ht="12.75" customHeight="1">
      <c r="D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ht="12.75" customHeight="1">
      <c r="D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ht="12.75" customHeight="1">
      <c r="D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ht="12.75" customHeight="1">
      <c r="D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ht="12.75" customHeight="1">
      <c r="D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ht="12.75" customHeight="1">
      <c r="D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ht="12.75" customHeight="1">
      <c r="D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ht="12.75" customHeight="1">
      <c r="D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ht="12.75" customHeight="1">
      <c r="D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ht="12.75" customHeight="1">
      <c r="D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ht="12.75" customHeight="1">
      <c r="D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ht="12.75" customHeight="1">
      <c r="D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ht="12.75" customHeight="1">
      <c r="D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ht="12.75" customHeight="1">
      <c r="D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ht="12.75" customHeight="1">
      <c r="D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ht="12.75" customHeight="1">
      <c r="D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ht="12.75" customHeight="1">
      <c r="D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ht="12.75" customHeight="1">
      <c r="D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ht="12.75" customHeight="1">
      <c r="D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ht="12.75" customHeight="1">
      <c r="D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ht="12.75" customHeight="1">
      <c r="D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ht="12.75" customHeight="1">
      <c r="D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ht="12.75" customHeight="1">
      <c r="D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ht="12.75" customHeight="1">
      <c r="D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ht="12.75" customHeight="1">
      <c r="D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ht="12.75" customHeight="1">
      <c r="D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ht="12.75" customHeight="1">
      <c r="D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ht="12.75" customHeight="1">
      <c r="D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ht="12.75" customHeight="1">
      <c r="D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ht="12.75" customHeight="1">
      <c r="D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ht="12.75" customHeight="1">
      <c r="D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ht="12.75" customHeight="1">
      <c r="D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ht="12.75" customHeight="1">
      <c r="D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ht="12.75" customHeight="1">
      <c r="D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ht="12.75" customHeight="1">
      <c r="D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ht="12.75" customHeight="1">
      <c r="D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ht="12.75" customHeight="1">
      <c r="D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ht="12.75" customHeight="1">
      <c r="D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ht="12.75" customHeight="1">
      <c r="D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ht="12.75" customHeight="1">
      <c r="D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ht="12.75" customHeight="1">
      <c r="D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ht="12.75" customHeight="1">
      <c r="D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ht="12.75" customHeight="1">
      <c r="D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ht="12.75" customHeight="1">
      <c r="D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ht="12.75" customHeight="1">
      <c r="D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ht="12.75" customHeight="1">
      <c r="D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ht="12.75" customHeight="1">
      <c r="D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ht="12.75" customHeight="1">
      <c r="D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ht="12.75" customHeight="1">
      <c r="D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ht="12.75" customHeight="1">
      <c r="D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ht="12.75" customHeight="1">
      <c r="D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ht="12.75" customHeight="1">
      <c r="D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ht="12.75" customHeight="1">
      <c r="D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ht="12.75" customHeight="1">
      <c r="D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ht="12.75" customHeight="1">
      <c r="D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ht="12.75" customHeight="1">
      <c r="D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ht="12.75" customHeight="1">
      <c r="D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ht="12.75" customHeight="1">
      <c r="D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ht="12.75" customHeight="1">
      <c r="D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ht="12.75" customHeight="1">
      <c r="D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ht="12.75" customHeight="1">
      <c r="D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ht="12.75" customHeight="1">
      <c r="D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ht="12.75" customHeight="1">
      <c r="D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ht="12.75" customHeight="1">
      <c r="D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ht="12.75" customHeight="1">
      <c r="D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ht="12.75" customHeight="1">
      <c r="D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ht="12.75" customHeight="1">
      <c r="D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ht="12.75" customHeight="1">
      <c r="D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ht="12.75" customHeight="1">
      <c r="D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ht="12.75" customHeight="1">
      <c r="D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ht="12.75" customHeight="1">
      <c r="D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ht="12.75" customHeight="1">
      <c r="D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ht="12.75" customHeight="1">
      <c r="D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ht="12.75" customHeight="1">
      <c r="D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ht="12.75" customHeight="1">
      <c r="D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ht="12.75" customHeight="1">
      <c r="D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ht="12.75" customHeight="1">
      <c r="D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ht="12.75" customHeight="1">
      <c r="D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ht="12.75" customHeight="1">
      <c r="D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ht="12.75" customHeight="1">
      <c r="D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ht="12.75" customHeight="1">
      <c r="D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ht="12.75" customHeight="1">
      <c r="D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ht="12.75" customHeight="1">
      <c r="D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ht="12.75" customHeight="1">
      <c r="D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ht="12.75" customHeight="1">
      <c r="D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ht="12.75" customHeight="1">
      <c r="D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ht="12.75" customHeight="1">
      <c r="D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ht="12.75" customHeight="1">
      <c r="D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ht="12.75" customHeight="1">
      <c r="D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ht="12.75" customHeight="1">
      <c r="D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ht="12.75" customHeight="1">
      <c r="D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ht="12.75" customHeight="1">
      <c r="D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ht="12.75" customHeight="1">
      <c r="D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ht="12.75" customHeight="1">
      <c r="D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ht="12.75" customHeight="1">
      <c r="D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ht="12.75" customHeight="1">
      <c r="D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ht="12.75" customHeight="1">
      <c r="D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ht="12.75" customHeight="1">
      <c r="D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ht="12.75" customHeight="1">
      <c r="D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ht="12.75" customHeight="1">
      <c r="D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ht="12.75" customHeight="1">
      <c r="D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ht="12.75" customHeight="1">
      <c r="D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ht="12.75" customHeight="1">
      <c r="D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ht="12.75" customHeight="1">
      <c r="D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ht="12.75" customHeight="1">
      <c r="D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ht="12.75" customHeight="1">
      <c r="D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ht="12.75" customHeight="1">
      <c r="D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ht="12.75" customHeight="1">
      <c r="D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ht="12.75" customHeight="1">
      <c r="D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ht="12.75" customHeight="1">
      <c r="D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ht="12.75" customHeight="1">
      <c r="D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ht="12.75" customHeight="1">
      <c r="D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ht="12.75" customHeight="1">
      <c r="D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ht="12.75" customHeight="1">
      <c r="D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ht="12.75" customHeight="1">
      <c r="D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ht="12.75" customHeight="1">
      <c r="D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ht="12.75" customHeight="1">
      <c r="D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ht="12.75" customHeight="1">
      <c r="D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ht="12.75" customHeight="1">
      <c r="D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ht="12.75" customHeight="1">
      <c r="D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ht="12.75" customHeight="1">
      <c r="D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ht="12.75" customHeight="1">
      <c r="D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ht="12.75" customHeight="1">
      <c r="D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ht="12.75" customHeight="1">
      <c r="D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ht="12.75" customHeight="1">
      <c r="D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ht="12.75" customHeight="1">
      <c r="D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ht="12.75" customHeight="1">
      <c r="D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ht="12.75" customHeight="1">
      <c r="D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ht="12.75" customHeight="1">
      <c r="D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ht="12.75" customHeight="1">
      <c r="D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ht="12.75" customHeight="1">
      <c r="D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ht="12.75" customHeight="1">
      <c r="D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ht="12.75" customHeight="1">
      <c r="D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ht="12.75" customHeight="1">
      <c r="D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ht="12.75" customHeight="1">
      <c r="D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ht="12.75" customHeight="1">
      <c r="D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ht="12.75" customHeight="1">
      <c r="D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ht="12.75" customHeight="1">
      <c r="D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ht="12.75" customHeight="1">
      <c r="D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ht="12.75" customHeight="1">
      <c r="D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ht="12.75" customHeight="1">
      <c r="D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ht="12.75" customHeight="1">
      <c r="D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ht="12.75" customHeight="1">
      <c r="D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ht="12.75" customHeight="1">
      <c r="D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ht="12.75" customHeight="1">
      <c r="D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ht="12.75" customHeight="1">
      <c r="D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ht="12.75" customHeight="1">
      <c r="D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ht="12.75" customHeight="1">
      <c r="D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ht="12.75" customHeight="1">
      <c r="D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ht="12.75" customHeight="1">
      <c r="D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ht="12.75" customHeight="1">
      <c r="D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ht="12.75" customHeight="1">
      <c r="D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ht="12.75" customHeight="1">
      <c r="D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ht="12.75" customHeight="1">
      <c r="D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ht="12.75" customHeight="1">
      <c r="D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ht="12.75" customHeight="1">
      <c r="D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ht="12.75" customHeight="1">
      <c r="D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ht="12.75" customHeight="1">
      <c r="D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ht="12.75" customHeight="1">
      <c r="D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ht="12.75" customHeight="1">
      <c r="D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ht="12.75" customHeight="1">
      <c r="D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ht="12.75" customHeight="1">
      <c r="D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ht="12.75" customHeight="1">
      <c r="D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ht="12.75" customHeight="1">
      <c r="D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ht="12.75" customHeight="1">
      <c r="D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ht="12.75" customHeight="1">
      <c r="D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ht="12.75" customHeight="1">
      <c r="D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ht="12.75" customHeight="1">
      <c r="D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ht="12.75" customHeight="1">
      <c r="D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ht="12.75" customHeight="1">
      <c r="D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ht="12.75" customHeight="1">
      <c r="D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ht="12.75" customHeight="1">
      <c r="D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ht="12.75" customHeight="1">
      <c r="D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ht="12.75" customHeight="1">
      <c r="D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ht="12.75" customHeight="1">
      <c r="D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ht="12.75" customHeight="1">
      <c r="D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ht="12.75" customHeight="1">
      <c r="D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ht="12.75" customHeight="1">
      <c r="D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ht="12.75" customHeight="1">
      <c r="D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ht="12.75" customHeight="1">
      <c r="D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ht="12.75" customHeight="1">
      <c r="D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ht="12.75" customHeight="1">
      <c r="D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ht="12.75" customHeight="1">
      <c r="D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ht="12.75" customHeight="1">
      <c r="D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ht="12.75" customHeight="1">
      <c r="D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ht="12.75" customHeight="1">
      <c r="D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ht="12.75" customHeight="1">
      <c r="D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ht="12.75" customHeight="1">
      <c r="D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ht="12.75" customHeight="1">
      <c r="D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ht="12.75" customHeight="1">
      <c r="D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ht="12.75" customHeight="1">
      <c r="D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ht="12.75" customHeight="1">
      <c r="D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ht="12.75" customHeight="1">
      <c r="D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ht="12.75" customHeight="1">
      <c r="D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ht="12.75" customHeight="1">
      <c r="D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ht="12.75" customHeight="1">
      <c r="D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ht="12.75" customHeight="1">
      <c r="D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ht="12.75" customHeight="1">
      <c r="D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ht="12.75" customHeight="1">
      <c r="D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ht="12.75" customHeight="1">
      <c r="D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ht="12.75" customHeight="1">
      <c r="D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ht="12.75" customHeight="1">
      <c r="D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ht="12.75" customHeight="1">
      <c r="D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ht="12.75" customHeight="1">
      <c r="D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ht="12.75" customHeight="1">
      <c r="D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ht="12.75" customHeight="1">
      <c r="D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ht="12.75" customHeight="1">
      <c r="D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ht="12.75" customHeight="1">
      <c r="D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ht="12.75" customHeight="1">
      <c r="D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ht="12.75" customHeight="1">
      <c r="D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ht="12.75" customHeight="1">
      <c r="D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ht="12.75" customHeight="1">
      <c r="D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ht="12.75" customHeight="1">
      <c r="D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ht="12.75" customHeight="1">
      <c r="D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ht="12.75" customHeight="1">
      <c r="D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ht="12.75" customHeight="1">
      <c r="D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ht="12.75" customHeight="1">
      <c r="D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ht="12.75" customHeight="1">
      <c r="D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ht="12.75" customHeight="1">
      <c r="D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ht="12.75" customHeight="1">
      <c r="D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ht="12.75" customHeight="1">
      <c r="D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ht="12.75" customHeight="1">
      <c r="D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ht="12.75" customHeight="1">
      <c r="D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ht="12.75" customHeight="1">
      <c r="D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ht="12.75" customHeight="1">
      <c r="D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ht="12.75" customHeight="1">
      <c r="D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ht="12.75" customHeight="1">
      <c r="D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ht="12.75" customHeight="1">
      <c r="D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ht="12.75" customHeight="1">
      <c r="D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ht="12.75" customHeight="1">
      <c r="D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ht="12.75" customHeight="1">
      <c r="D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ht="12.75" customHeight="1">
      <c r="D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ht="12.75" customHeight="1">
      <c r="D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ht="12.75" customHeight="1">
      <c r="D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ht="12.75" customHeight="1">
      <c r="D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ht="12.75" customHeight="1">
      <c r="D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ht="12.75" customHeight="1">
      <c r="D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ht="12.75" customHeight="1">
      <c r="D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ht="12.75" customHeight="1">
      <c r="D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ht="12.75" customHeight="1">
      <c r="D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ht="12.75" customHeight="1">
      <c r="D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ht="12.75" customHeight="1">
      <c r="D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ht="12.75" customHeight="1">
      <c r="D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ht="12.75" customHeight="1">
      <c r="D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ht="12.75" customHeight="1">
      <c r="D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ht="12.75" customHeight="1">
      <c r="D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ht="12.75" customHeight="1">
      <c r="D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ht="12.75" customHeight="1">
      <c r="D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ht="12.75" customHeight="1">
      <c r="D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ht="12.75" customHeight="1">
      <c r="D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ht="12.75" customHeight="1">
      <c r="D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ht="12.75" customHeight="1">
      <c r="D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ht="12.75" customHeight="1">
      <c r="D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ht="12.75" customHeight="1">
      <c r="D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ht="12.75" customHeight="1">
      <c r="D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ht="12.75" customHeight="1">
      <c r="D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ht="12.75" customHeight="1">
      <c r="D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ht="12.75" customHeight="1">
      <c r="D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ht="12.75" customHeight="1">
      <c r="D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ht="12.75" customHeight="1">
      <c r="D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ht="12.75" customHeight="1">
      <c r="D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ht="12.75" customHeight="1">
      <c r="D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ht="12.75" customHeight="1">
      <c r="D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ht="12.75" customHeight="1">
      <c r="D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ht="12.75" customHeight="1">
      <c r="D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ht="12.75" customHeight="1">
      <c r="D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ht="12.75" customHeight="1">
      <c r="D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ht="12.75" customHeight="1">
      <c r="D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ht="12.75" customHeight="1">
      <c r="D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ht="12.75" customHeight="1">
      <c r="D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ht="12.75" customHeight="1">
      <c r="D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ht="12.75" customHeight="1">
      <c r="D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ht="12.75" customHeight="1">
      <c r="D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ht="12.75" customHeight="1">
      <c r="D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ht="12.75" customHeight="1">
      <c r="D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ht="12.75" customHeight="1">
      <c r="D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ht="12.75" customHeight="1">
      <c r="D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ht="12.75" customHeight="1">
      <c r="D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ht="12.75" customHeight="1">
      <c r="D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ht="12.75" customHeight="1">
      <c r="D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ht="12.75" customHeight="1">
      <c r="D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ht="12.75" customHeight="1">
      <c r="D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ht="12.75" customHeight="1">
      <c r="D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ht="12.75" customHeight="1">
      <c r="D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ht="12.75" customHeight="1">
      <c r="D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ht="12.75" customHeight="1">
      <c r="D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ht="12.75" customHeight="1">
      <c r="D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ht="12.75" customHeight="1">
      <c r="D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ht="12.75" customHeight="1">
      <c r="D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ht="12.75" customHeight="1">
      <c r="D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ht="12.75" customHeight="1">
      <c r="D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ht="12.75" customHeight="1">
      <c r="D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ht="12.75" customHeight="1">
      <c r="D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ht="12.75" customHeight="1">
      <c r="D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ht="12.75" customHeight="1">
      <c r="D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ht="12.75" customHeight="1">
      <c r="D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ht="12.75" customHeight="1">
      <c r="D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ht="12.75" customHeight="1">
      <c r="D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ht="12.75" customHeight="1">
      <c r="D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ht="12.75" customHeight="1">
      <c r="D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ht="12.75" customHeight="1">
      <c r="D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ht="12.75" customHeight="1">
      <c r="D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ht="12.75" customHeight="1">
      <c r="D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ht="12.75" customHeight="1">
      <c r="D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ht="12.75" customHeight="1">
      <c r="D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ht="12.75" customHeight="1">
      <c r="D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ht="12.75" customHeight="1">
      <c r="D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ht="12.75" customHeight="1">
      <c r="D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ht="12.75" customHeight="1">
      <c r="D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ht="12.75" customHeight="1">
      <c r="D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ht="12.75" customHeight="1">
      <c r="D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ht="12.75" customHeight="1">
      <c r="D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ht="12.75" customHeight="1">
      <c r="D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ht="12.75" customHeight="1">
      <c r="D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ht="12.75" customHeight="1">
      <c r="D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ht="12.75" customHeight="1">
      <c r="D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ht="12.75" customHeight="1">
      <c r="D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ht="12.75" customHeight="1">
      <c r="D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ht="12.75" customHeight="1">
      <c r="D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ht="12.75" customHeight="1">
      <c r="D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ht="12.75" customHeight="1">
      <c r="D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ht="12.75" customHeight="1">
      <c r="D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ht="12.75" customHeight="1">
      <c r="D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ht="12.75" customHeight="1">
      <c r="D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ht="12.75" customHeight="1">
      <c r="D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ht="12.75" customHeight="1">
      <c r="D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ht="12.75" customHeight="1">
      <c r="D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ht="12.75" customHeight="1">
      <c r="D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ht="12.75" customHeight="1">
      <c r="D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ht="12.75" customHeight="1">
      <c r="D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ht="12.75" customHeight="1">
      <c r="D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ht="12.75" customHeight="1">
      <c r="D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ht="12.75" customHeight="1">
      <c r="D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ht="12.75" customHeight="1">
      <c r="D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ht="12.75" customHeight="1">
      <c r="D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ht="12.75" customHeight="1">
      <c r="D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ht="12.75" customHeight="1">
      <c r="D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ht="12.75" customHeight="1">
      <c r="D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ht="12.75" customHeight="1">
      <c r="D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ht="12.75" customHeight="1">
      <c r="D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ht="12.75" customHeight="1">
      <c r="D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ht="12.75" customHeight="1">
      <c r="D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ht="12.75" customHeight="1">
      <c r="D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ht="12.75" customHeight="1">
      <c r="D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ht="12.75" customHeight="1">
      <c r="D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ht="12.75" customHeight="1">
      <c r="D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ht="12.75" customHeight="1">
      <c r="D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ht="12.75" customHeight="1">
      <c r="D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ht="12.75" customHeight="1">
      <c r="D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ht="12.75" customHeight="1">
      <c r="D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ht="12.75" customHeight="1">
      <c r="D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ht="12.75" customHeight="1">
      <c r="D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ht="12.75" customHeight="1">
      <c r="D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ht="12.75" customHeight="1">
      <c r="D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ht="12.75" customHeight="1">
      <c r="D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ht="12.75" customHeight="1">
      <c r="D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ht="12.75" customHeight="1">
      <c r="D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ht="12.75" customHeight="1">
      <c r="D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ht="12.75" customHeight="1">
      <c r="D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ht="12.75" customHeight="1">
      <c r="D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ht="12.75" customHeight="1">
      <c r="D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ht="12.75" customHeight="1">
      <c r="D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ht="12.75" customHeight="1">
      <c r="D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ht="12.75" customHeight="1">
      <c r="D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ht="12.75" customHeight="1">
      <c r="D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ht="12.75" customHeight="1">
      <c r="D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ht="12.75" customHeight="1">
      <c r="D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</sheetData>
  <mergeCells count="3">
    <mergeCell ref="D3:H3"/>
    <mergeCell ref="D4:H4"/>
    <mergeCell ref="D5:H5"/>
  </mergeCells>
  <conditionalFormatting sqref="C26:AF65 L22:AF25">
    <cfRule type="expression" dxfId="0" priority="1" stopIfTrue="1">
      <formula>$F22="Done"</formula>
    </cfRule>
  </conditionalFormatting>
  <conditionalFormatting sqref="C26:AF65 L22:AF25">
    <cfRule type="expression" dxfId="1" priority="2" stopIfTrue="1">
      <formula>$F22="Ongoing"</formula>
    </cfRule>
  </conditionalFormatting>
  <conditionalFormatting sqref="B22:AF65">
    <cfRule type="expression" dxfId="0" priority="3" stopIfTrue="1">
      <formula>$F22="Terminado"</formula>
    </cfRule>
  </conditionalFormatting>
  <conditionalFormatting sqref="B22:AF65">
    <cfRule type="expression" dxfId="1" priority="4" stopIfTrue="1">
      <formula>$F22="En Progreso"</formula>
    </cfRule>
  </conditionalFormatting>
  <dataValidations>
    <dataValidation type="list" allowBlank="1" sqref="F10:F15 F22:F71">
      <formula1>"Por Hacer,En Progreso,Terminado"</formula1>
    </dataValidation>
  </dataValidations>
  <printOptions/>
  <pageMargins bottom="1.0" footer="0.0" header="0.0" left="0.75" right="0.75" top="1.0"/>
  <pageSetup paperSize="9" orientation="portrait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9.13"/>
    <col customWidth="1" min="3" max="3" width="38.38"/>
    <col customWidth="1" min="4" max="4" width="10.75"/>
    <col customWidth="1" min="5" max="5" width="13.75"/>
    <col customWidth="1" min="6" max="6" width="10.88"/>
    <col customWidth="1" min="7" max="7" width="9.63"/>
    <col customWidth="1" min="8" max="32" width="4.38"/>
    <col customWidth="1" min="33" max="33" width="9.13"/>
  </cols>
  <sheetData>
    <row r="1" ht="12.75" customHeight="1">
      <c r="D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0.5" customHeight="1">
      <c r="B2" s="2"/>
      <c r="C2" s="3"/>
      <c r="D2" s="4"/>
      <c r="E2" s="5"/>
      <c r="F2" s="5"/>
      <c r="G2" s="5"/>
      <c r="H2" s="5"/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4"/>
      <c r="W2" s="5"/>
      <c r="X2" s="5"/>
      <c r="Y2" s="5"/>
      <c r="Z2" s="5"/>
      <c r="AA2" s="5"/>
      <c r="AB2" s="5"/>
      <c r="AC2" s="5"/>
      <c r="AD2" s="5"/>
      <c r="AE2" s="5"/>
      <c r="AF2" s="6"/>
    </row>
    <row r="3" ht="15.0" customHeight="1">
      <c r="B3" s="7"/>
      <c r="C3" s="8" t="s">
        <v>0</v>
      </c>
      <c r="D3" s="9"/>
      <c r="E3" s="10"/>
      <c r="F3" s="10"/>
      <c r="G3" s="10"/>
      <c r="H3" s="11"/>
      <c r="I3" s="12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2"/>
      <c r="W3" s="13"/>
      <c r="X3" s="13"/>
      <c r="Y3" s="13"/>
      <c r="Z3" s="13"/>
      <c r="AA3" s="13"/>
      <c r="AB3" s="13"/>
      <c r="AC3" s="13"/>
      <c r="AD3" s="13"/>
      <c r="AE3" s="13"/>
      <c r="AF3" s="14"/>
    </row>
    <row r="4" ht="15.0" customHeight="1">
      <c r="B4" s="7"/>
      <c r="C4" s="8" t="s">
        <v>1</v>
      </c>
      <c r="D4" s="9"/>
      <c r="E4" s="10"/>
      <c r="F4" s="10"/>
      <c r="G4" s="10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2"/>
      <c r="W4" s="13"/>
      <c r="X4" s="13"/>
      <c r="Y4" s="13"/>
      <c r="Z4" s="13"/>
      <c r="AA4" s="13"/>
      <c r="AB4" s="13"/>
      <c r="AC4" s="13"/>
      <c r="AD4" s="13"/>
      <c r="AE4" s="13"/>
      <c r="AF4" s="14"/>
    </row>
    <row r="5" ht="15.0" customHeight="1">
      <c r="B5" s="7"/>
      <c r="C5" s="8" t="s">
        <v>2</v>
      </c>
      <c r="D5" s="9"/>
      <c r="E5" s="10"/>
      <c r="F5" s="10"/>
      <c r="G5" s="10"/>
      <c r="H5" s="11"/>
      <c r="I5" s="12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2"/>
      <c r="W5" s="13"/>
      <c r="X5" s="13"/>
      <c r="Y5" s="13"/>
      <c r="Z5" s="13"/>
      <c r="AA5" s="13"/>
      <c r="AB5" s="13"/>
      <c r="AC5" s="13"/>
      <c r="AD5" s="13"/>
      <c r="AE5" s="13"/>
      <c r="AF5" s="14"/>
    </row>
    <row r="6" ht="15.0" customHeight="1">
      <c r="B6" s="15"/>
      <c r="C6" s="16"/>
      <c r="D6" s="17"/>
      <c r="E6" s="17"/>
      <c r="F6" s="17"/>
      <c r="G6" s="17"/>
      <c r="H6" s="17"/>
      <c r="I6" s="18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8"/>
      <c r="W6" s="19"/>
      <c r="X6" s="19"/>
      <c r="Y6" s="19"/>
      <c r="Z6" s="19"/>
      <c r="AA6" s="19"/>
      <c r="AB6" s="19"/>
      <c r="AC6" s="19"/>
      <c r="AD6" s="19"/>
      <c r="AE6" s="19"/>
      <c r="AF6" s="20"/>
    </row>
    <row r="7" ht="10.5" customHeight="1">
      <c r="A7" s="23"/>
      <c r="B7" s="32"/>
      <c r="C7" s="23"/>
      <c r="D7" s="33"/>
      <c r="E7" s="33"/>
      <c r="F7" s="33"/>
      <c r="G7" s="33"/>
      <c r="H7" s="33"/>
      <c r="I7" s="32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2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23"/>
    </row>
    <row r="8" ht="12.75" customHeight="1">
      <c r="A8" s="23"/>
      <c r="B8" s="23"/>
      <c r="C8" s="21">
        <v>1.0</v>
      </c>
      <c r="D8" s="22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</row>
    <row r="9" ht="12.75" customHeight="1">
      <c r="D9" s="1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ht="12.75" customHeight="1">
      <c r="D10" s="1"/>
      <c r="F10" s="24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ht="12.75" customHeight="1">
      <c r="D11" s="1"/>
      <c r="F11" s="24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ht="12.75" customHeight="1">
      <c r="D12" s="1"/>
      <c r="F12" s="24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ht="12.75" customHeight="1">
      <c r="D13" s="1"/>
      <c r="F13" s="24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ht="12.75" customHeight="1">
      <c r="D14" s="1"/>
      <c r="F14" s="24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12.75" customHeight="1">
      <c r="D15" s="1"/>
      <c r="F15" s="24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ht="12.75" customHeight="1">
      <c r="B16" s="25"/>
      <c r="C16" s="25" t="s">
        <v>3</v>
      </c>
      <c r="D16" s="1"/>
      <c r="E16" s="25"/>
      <c r="F16" s="26"/>
      <c r="G16" s="25" t="s">
        <v>4</v>
      </c>
      <c r="H16" s="25" t="s">
        <v>5</v>
      </c>
      <c r="I16" s="25"/>
      <c r="J16" s="25"/>
      <c r="K16" s="25"/>
      <c r="L16" s="25"/>
      <c r="M16" s="25"/>
      <c r="N16" s="25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</row>
    <row r="17" ht="12.75" customHeight="1">
      <c r="B17" s="25"/>
      <c r="C17" s="25" t="s">
        <v>6</v>
      </c>
      <c r="D17" s="1"/>
      <c r="E17" s="25" t="s">
        <v>7</v>
      </c>
      <c r="F17" s="25" t="s">
        <v>8</v>
      </c>
      <c r="G17" s="27">
        <f>SUM(OFFSET(G21,1,0,'Plantilla Sprint'!TaskRows,1))</f>
        <v>0</v>
      </c>
      <c r="H17" s="27">
        <f>IF(AND(SUM(OFFSET(H21,1,0,'Plantilla Sprint'!TaskRows,1))=0),0,SUM(OFFSET(H21,1,0,'Plantilla Sprint'!TaskRows,1)))</f>
        <v>0</v>
      </c>
      <c r="I17" s="27" t="str">
        <f>IF(AND(SUM(OFFSET(I21,1,0,'Plantilla Sprint'!TaskRows,1))=0),"",SUM(OFFSET(I21,1,0,'Plantilla Sprint'!TaskRows,1)))</f>
        <v/>
      </c>
      <c r="J17" s="27" t="str">
        <f>IF(AND(SUM(OFFSET(J21,1,0,'Plantilla Sprint'!TaskRows,1))=0),"",SUM(OFFSET(J21,1,0,'Plantilla Sprint'!TaskRows,1)))</f>
        <v/>
      </c>
      <c r="K17" s="27" t="str">
        <f>IF(AND(SUM(OFFSET(K21,1,0,'Plantilla Sprint'!TaskRows,1))=0),"",SUM(OFFSET(K21,1,0,'Plantilla Sprint'!TaskRows,1)))</f>
        <v/>
      </c>
      <c r="L17" s="27" t="str">
        <f>IF(AND(SUM(OFFSET(L21,1,0,'Plantilla Sprint'!TaskRows,1))=0),"",SUM(OFFSET(L21,1,0,'Plantilla Sprint'!TaskRows,1)))</f>
        <v/>
      </c>
      <c r="M17" s="27" t="str">
        <f>IF(AND(SUM(OFFSET(M21,1,0,'Plantilla Sprint'!TaskRows,1))=0),"",SUM(OFFSET(M21,1,0,'Plantilla Sprint'!TaskRows,1)))</f>
        <v/>
      </c>
      <c r="N17" s="27" t="str">
        <f>IF(AND(SUM(OFFSET(N21,1,0,'Plantilla Sprint'!TaskRows,1))=0),"",SUM(OFFSET(N21,1,0,'Plantilla Sprint'!TaskRows,1)))</f>
        <v/>
      </c>
      <c r="O17" s="27" t="str">
        <f>IF(AND(SUM(OFFSET(O21,1,0,'Plantilla Sprint'!TaskRows,1))=0),"",SUM(OFFSET(O21,1,0,'Plantilla Sprint'!TaskRows,1)))</f>
        <v/>
      </c>
      <c r="P17" s="27" t="str">
        <f>IF(AND(SUM(OFFSET(P21,1,0,'Plantilla Sprint'!TaskRows,1))=0),"",SUM(OFFSET(P21,1,0,'Plantilla Sprint'!TaskRows,1)))</f>
        <v/>
      </c>
      <c r="Q17" s="27" t="str">
        <f>IF(AND(SUM(OFFSET(Q21,1,0,'Plantilla Sprint'!TaskRows,1))=0),"",SUM(OFFSET(Q21,1,0,'Plantilla Sprint'!TaskRows,1)))</f>
        <v/>
      </c>
      <c r="R17" s="27" t="str">
        <f>IF(AND(SUM(OFFSET(R21,1,0,'Plantilla Sprint'!TaskRows,1))=0),"",SUM(OFFSET(R21,1,0,'Plantilla Sprint'!TaskRows,1)))</f>
        <v/>
      </c>
      <c r="S17" s="27" t="str">
        <f>IF(AND(SUM(OFFSET(S21,1,0,'Plantilla Sprint'!TaskRows,1))=0),"",SUM(OFFSET(S21,1,0,'Plantilla Sprint'!TaskRows,1)))</f>
        <v/>
      </c>
      <c r="T17" s="27" t="str">
        <f>IF(AND(SUM(OFFSET(T21,1,0,'Plantilla Sprint'!TaskRows,1))=0),"",SUM(OFFSET(T21,1,0,'Plantilla Sprint'!TaskRows,1)))</f>
        <v/>
      </c>
      <c r="U17" s="27" t="str">
        <f>IF(AND(SUM(OFFSET(U21,1,0,'Plantilla Sprint'!TaskRows,1))=0),"",SUM(OFFSET(U21,1,0,'Plantilla Sprint'!TaskRows,1)))</f>
        <v/>
      </c>
      <c r="V17" s="27" t="str">
        <f>IF(AND(SUM(OFFSET(V21,1,0,'Plantilla Sprint'!TaskRows,1))=0),"",SUM(OFFSET(V21,1,0,'Plantilla Sprint'!TaskRows,1)))</f>
        <v/>
      </c>
      <c r="W17" s="27" t="str">
        <f>IF(AND(SUM(OFFSET(W21,1,0,'Plantilla Sprint'!TaskRows,1))=0),"",SUM(OFFSET(W21,1,0,'Plantilla Sprint'!TaskRows,1)))</f>
        <v/>
      </c>
      <c r="X17" s="27" t="str">
        <f>IF(AND(SUM(OFFSET(X21,1,0,'Plantilla Sprint'!TaskRows,1))=0),"",SUM(OFFSET(X21,1,0,'Plantilla Sprint'!TaskRows,1)))</f>
        <v/>
      </c>
      <c r="Y17" s="27" t="str">
        <f>IF(AND(SUM(OFFSET(Y21,1,0,'Plantilla Sprint'!TaskRows,1))=0),"",SUM(OFFSET(Y21,1,0,'Plantilla Sprint'!TaskRows,1)))</f>
        <v/>
      </c>
      <c r="Z17" s="27" t="str">
        <f>IF(AND(SUM(OFFSET(Z21,1,0,'Plantilla Sprint'!TaskRows,1))=0),"",SUM(OFFSET(Z21,1,0,'Plantilla Sprint'!TaskRows,1)))</f>
        <v/>
      </c>
      <c r="AA17" s="27" t="str">
        <f>IF(AND(SUM(OFFSET(AA21,1,0,'Plantilla Sprint'!TaskRows,1))=0),"",SUM(OFFSET(AA21,1,0,'Plantilla Sprint'!TaskRows,1)))</f>
        <v/>
      </c>
      <c r="AB17" s="27" t="str">
        <f>IF(AND(SUM(OFFSET(AB21,1,0,'Plantilla Sprint'!TaskRows,1))=0),"",SUM(OFFSET(AB21,1,0,'Plantilla Sprint'!TaskRows,1)))</f>
        <v/>
      </c>
      <c r="AC17" s="27" t="str">
        <f>IF(AND(SUM(OFFSET(AC21,1,0,'Plantilla Sprint'!TaskRows,1))=0),"",SUM(OFFSET(AC21,1,0,'Plantilla Sprint'!TaskRows,1)))</f>
        <v/>
      </c>
      <c r="AD17" s="27" t="str">
        <f>IF(AND(SUM(OFFSET(AD21,1,0,'Plantilla Sprint'!TaskRows,1))=0),"",SUM(OFFSET(AD21,1,0,'Plantilla Sprint'!TaskRows,1)))</f>
        <v/>
      </c>
      <c r="AE17" s="27" t="str">
        <f>IF(AND(SUM(OFFSET(AE21,1,0,'Plantilla Sprint'!TaskRows,1))=0),"",SUM(OFFSET(AE21,1,0,'Plantilla Sprint'!TaskRows,1)))</f>
        <v/>
      </c>
      <c r="AF17" s="27" t="str">
        <f>IF(AND(SUM(OFFSET(AF21,1,0,'Plantilla Sprint'!TaskRows,1))=0),"",SUM(OFFSET(AF21,1,0,'Plantilla Sprint'!TaskRows,1)))</f>
        <v/>
      </c>
    </row>
    <row r="18" ht="12.75" hidden="1" customHeight="1">
      <c r="C18" s="24" t="s">
        <v>9</v>
      </c>
      <c r="D18" s="1">
        <f>IF(COUNTA(C22:C249)=0,1,COUNTA(C22:C249))</f>
        <v>1</v>
      </c>
      <c r="E18" s="24" t="s">
        <v>10</v>
      </c>
      <c r="F18" s="1">
        <f>IF(COUNTIF(H17:AF17,"&gt;0")=0,1,COUNTIF(H17:AF17,"&gt;0"))</f>
        <v>1</v>
      </c>
      <c r="G18" s="1"/>
      <c r="H18" s="1">
        <f>IF(H21="","",$G17-$G17/($D16-1)*(H21-1))</f>
        <v>0</v>
      </c>
      <c r="I18" s="1" t="str">
        <f>IF(I21="","",'Plantilla Sprint'!TotalEffort-'Plantilla Sprint'!TotalEffort/('Plantilla Sprint'!ImplementationDays)*(I21-1))</f>
        <v/>
      </c>
      <c r="J18" s="1" t="str">
        <f>IF(J21="","",'Plantilla Sprint'!TotalEffort-'Plantilla Sprint'!TotalEffort/('Plantilla Sprint'!ImplementationDays)*(J21-1))</f>
        <v/>
      </c>
      <c r="K18" s="1" t="str">
        <f>IF(K21="","",'Plantilla Sprint'!TotalEffort-'Plantilla Sprint'!TotalEffort/('Plantilla Sprint'!ImplementationDays)*(K21-1))</f>
        <v/>
      </c>
      <c r="L18" s="1" t="str">
        <f>IF(L21="","",'Plantilla Sprint'!TotalEffort-'Plantilla Sprint'!TotalEffort/('Plantilla Sprint'!ImplementationDays)*(L21-1))</f>
        <v/>
      </c>
      <c r="M18" s="1" t="str">
        <f>IF(M21="","",'Plantilla Sprint'!TotalEffort-'Plantilla Sprint'!TotalEffort/('Plantilla Sprint'!ImplementationDays)*(M21-1))</f>
        <v/>
      </c>
      <c r="N18" s="1" t="str">
        <f>IF(N21="","",'Plantilla Sprint'!TotalEffort-'Plantilla Sprint'!TotalEffort/('Plantilla Sprint'!ImplementationDays)*(N21-1))</f>
        <v/>
      </c>
      <c r="O18" s="1" t="str">
        <f>IF(O21="","",'Plantilla Sprint'!TotalEffort-'Plantilla Sprint'!TotalEffort/('Plantilla Sprint'!ImplementationDays)*(O21-1))</f>
        <v/>
      </c>
      <c r="P18" s="1" t="str">
        <f>IF(P21="","",'Plantilla Sprint'!TotalEffort-'Plantilla Sprint'!TotalEffort/('Plantilla Sprint'!ImplementationDays)*(P21-1))</f>
        <v/>
      </c>
      <c r="Q18" s="1" t="str">
        <f>IF(Q21="","",'Plantilla Sprint'!TotalEffort-'Plantilla Sprint'!TotalEffort/('Plantilla Sprint'!ImplementationDays)*(Q21-1))</f>
        <v/>
      </c>
      <c r="R18" s="1" t="str">
        <f>IF(R21="","",'Plantilla Sprint'!TotalEffort-'Plantilla Sprint'!TotalEffort/('Plantilla Sprint'!ImplementationDays)*(R21-1))</f>
        <v/>
      </c>
      <c r="S18" s="1" t="str">
        <f>IF(S21="","",'Plantilla Sprint'!TotalEffort-'Plantilla Sprint'!TotalEffort/('Plantilla Sprint'!ImplementationDays)*(S21-1))</f>
        <v/>
      </c>
      <c r="T18" s="1" t="str">
        <f>IF(T21="","",'Plantilla Sprint'!TotalEffort-'Plantilla Sprint'!TotalEffort/('Plantilla Sprint'!ImplementationDays)*(T21-1))</f>
        <v/>
      </c>
      <c r="U18" s="1" t="str">
        <f>IF(U21="","",'Plantilla Sprint'!TotalEffort-'Plantilla Sprint'!TotalEffort/('Plantilla Sprint'!ImplementationDays)*(U21-1))</f>
        <v/>
      </c>
      <c r="V18" s="1" t="str">
        <f>IF(V21="","",'Plantilla Sprint'!TotalEffort-'Plantilla Sprint'!TotalEffort/('Plantilla Sprint'!ImplementationDays)*(V21-1))</f>
        <v/>
      </c>
      <c r="W18" s="1" t="str">
        <f>IF(W21="","",'Plantilla Sprint'!TotalEffort-'Plantilla Sprint'!TotalEffort/('Plantilla Sprint'!ImplementationDays)*(W21-1))</f>
        <v/>
      </c>
      <c r="X18" s="1" t="str">
        <f>IF(X21="","",'Plantilla Sprint'!TotalEffort-'Plantilla Sprint'!TotalEffort/('Plantilla Sprint'!ImplementationDays)*(X21-1))</f>
        <v/>
      </c>
      <c r="Y18" s="1" t="str">
        <f>IF(Y21="","",'Plantilla Sprint'!TotalEffort-'Plantilla Sprint'!TotalEffort/('Plantilla Sprint'!ImplementationDays)*(Y21-1))</f>
        <v/>
      </c>
      <c r="Z18" s="1" t="str">
        <f>IF(Z21="","",'Plantilla Sprint'!TotalEffort-'Plantilla Sprint'!TotalEffort/('Plantilla Sprint'!ImplementationDays)*(Z21-1))</f>
        <v/>
      </c>
      <c r="AA18" s="1" t="str">
        <f>IF(AA21="","",'Plantilla Sprint'!TotalEffort-'Plantilla Sprint'!TotalEffort/('Plantilla Sprint'!ImplementationDays)*(AA21-1))</f>
        <v/>
      </c>
      <c r="AB18" s="1" t="str">
        <f>IF(AB21="","",'Plantilla Sprint'!TotalEffort-'Plantilla Sprint'!TotalEffort/('Plantilla Sprint'!ImplementationDays)*(AB21-1))</f>
        <v/>
      </c>
      <c r="AC18" s="1" t="str">
        <f>IF(AC21="","",'Plantilla Sprint'!TotalEffort-'Plantilla Sprint'!TotalEffort/('Plantilla Sprint'!ImplementationDays)*(AC21-1))</f>
        <v/>
      </c>
      <c r="AD18" s="1" t="str">
        <f>IF(AD21="","",'Plantilla Sprint'!TotalEffort-'Plantilla Sprint'!TotalEffort/('Plantilla Sprint'!ImplementationDays)*(AD21-1))</f>
        <v/>
      </c>
      <c r="AE18" s="1" t="str">
        <f>IF(AE21="","",'Plantilla Sprint'!TotalEffort-'Plantilla Sprint'!TotalEffort/('Plantilla Sprint'!ImplementationDays)*(AE21-1))</f>
        <v/>
      </c>
      <c r="AF18" s="1" t="str">
        <f>IF(AF21="","",'Plantilla Sprint'!TotalEffort-'Plantilla Sprint'!TotalEffort/('Plantilla Sprint'!ImplementationDays)*(AF21-1))</f>
        <v/>
      </c>
    </row>
    <row r="19" ht="12.75" hidden="1" customHeight="1">
      <c r="C19" s="28" t="s">
        <v>11</v>
      </c>
      <c r="E19" s="24" t="s">
        <v>12</v>
      </c>
      <c r="F19" s="1"/>
      <c r="G19" s="1"/>
      <c r="H19" s="1" t="str">
        <f t="array" ref="H19">IF(TREND(OFFSET($H17,0,'Plantilla Sprint'!DoneDays-'Plantilla Sprint'!TrendDays,1,'Plantilla Sprint'!TrendDays),OFFSET($H20,0,'Plantilla Sprint'!DoneDays-'Plantilla Sprint'!TrendDays,1,'Plantilla Sprint'!TrendDays),H20)&lt;0,"",TREND(OFFSET($H17,0,'Plantilla Sprint'!DoneDays-'Plantilla Sprint'!TrendDays,1,'Plantilla Sprint'!TrendDays),OFFSET($H20,0,'Plantilla Sprint'!DoneDays-'Plantilla Sprint'!TrendDays,1,'Plantilla Sprint'!TrendDays),H20))</f>
        <v>#VALUE!</v>
      </c>
      <c r="I19" s="1" t="str">
        <f t="array" ref="I19">IF(TREND(OFFSET($H17,0,'Plantilla Sprint'!DoneDays-'Plantilla Sprint'!TrendDays,1,'Plantilla Sprint'!TrendDays),OFFSET($H20,0,'Plantilla Sprint'!DoneDays-'Plantilla Sprint'!TrendDays,1,'Plantilla Sprint'!TrendDays),I20)&lt;0,"",TREND(OFFSET($H17,0,'Plantilla Sprint'!DoneDays-'Plantilla Sprint'!TrendDays,1,'Plantilla Sprint'!TrendDays),OFFSET($H20,0,'Plantilla Sprint'!DoneDays-'Plantilla Sprint'!TrendDays,1,'Plantilla Sprint'!TrendDays),I20))</f>
        <v>#VALUE!</v>
      </c>
      <c r="J19" s="1" t="str">
        <f t="array" ref="J19">IF(TREND(OFFSET($H17,0,'Plantilla Sprint'!DoneDays-'Plantilla Sprint'!TrendDays,1,'Plantilla Sprint'!TrendDays),OFFSET($H20,0,'Plantilla Sprint'!DoneDays-'Plantilla Sprint'!TrendDays,1,'Plantilla Sprint'!TrendDays),J20)&lt;0,"",TREND(OFFSET($H17,0,'Plantilla Sprint'!DoneDays-'Plantilla Sprint'!TrendDays,1,'Plantilla Sprint'!TrendDays),OFFSET($H20,0,'Plantilla Sprint'!DoneDays-'Plantilla Sprint'!TrendDays,1,'Plantilla Sprint'!TrendDays),J20))</f>
        <v>#VALUE!</v>
      </c>
      <c r="K19" s="1" t="str">
        <f t="array" ref="K19">IF(TREND(OFFSET($H17,0,'Plantilla Sprint'!DoneDays-'Plantilla Sprint'!TrendDays,1,'Plantilla Sprint'!TrendDays),OFFSET($H20,0,'Plantilla Sprint'!DoneDays-'Plantilla Sprint'!TrendDays,1,'Plantilla Sprint'!TrendDays),K20)&lt;0,"",TREND(OFFSET($H17,0,'Plantilla Sprint'!DoneDays-'Plantilla Sprint'!TrendDays,1,'Plantilla Sprint'!TrendDays),OFFSET($H20,0,'Plantilla Sprint'!DoneDays-'Plantilla Sprint'!TrendDays,1,'Plantilla Sprint'!TrendDays),K20))</f>
        <v>#VALUE!</v>
      </c>
      <c r="L19" s="1" t="str">
        <f t="array" ref="L19">IF(TREND(OFFSET($H17,0,'Plantilla Sprint'!DoneDays-'Plantilla Sprint'!TrendDays,1,'Plantilla Sprint'!TrendDays),OFFSET($H20,0,'Plantilla Sprint'!DoneDays-'Plantilla Sprint'!TrendDays,1,'Plantilla Sprint'!TrendDays),L20)&lt;0,"",TREND(OFFSET($H17,0,'Plantilla Sprint'!DoneDays-'Plantilla Sprint'!TrendDays,1,'Plantilla Sprint'!TrendDays),OFFSET($H20,0,'Plantilla Sprint'!DoneDays-'Plantilla Sprint'!TrendDays,1,'Plantilla Sprint'!TrendDays),L20))</f>
        <v>#VALUE!</v>
      </c>
      <c r="M19" s="1" t="str">
        <f t="array" ref="M19">IF(TREND(OFFSET($H17,0,'Plantilla Sprint'!DoneDays-'Plantilla Sprint'!TrendDays,1,'Plantilla Sprint'!TrendDays),OFFSET($H20,0,'Plantilla Sprint'!DoneDays-'Plantilla Sprint'!TrendDays,1,'Plantilla Sprint'!TrendDays),M20)&lt;0,"",TREND(OFFSET($H17,0,'Plantilla Sprint'!DoneDays-'Plantilla Sprint'!TrendDays,1,'Plantilla Sprint'!TrendDays),OFFSET($H20,0,'Plantilla Sprint'!DoneDays-'Plantilla Sprint'!TrendDays,1,'Plantilla Sprint'!TrendDays),M20))</f>
        <v>#VALUE!</v>
      </c>
      <c r="N19" s="1" t="str">
        <f t="array" ref="N19">IF(TREND(OFFSET($H17,0,'Plantilla Sprint'!DoneDays-'Plantilla Sprint'!TrendDays,1,'Plantilla Sprint'!TrendDays),OFFSET($H20,0,'Plantilla Sprint'!DoneDays-'Plantilla Sprint'!TrendDays,1,'Plantilla Sprint'!TrendDays),N20)&lt;0,"",TREND(OFFSET($H17,0,'Plantilla Sprint'!DoneDays-'Plantilla Sprint'!TrendDays,1,'Plantilla Sprint'!TrendDays),OFFSET($H20,0,'Plantilla Sprint'!DoneDays-'Plantilla Sprint'!TrendDays,1,'Plantilla Sprint'!TrendDays),N20))</f>
        <v>#VALUE!</v>
      </c>
      <c r="O19" s="1" t="str">
        <f t="array" ref="O19">IF(TREND(OFFSET($H17,0,'Plantilla Sprint'!DoneDays-'Plantilla Sprint'!TrendDays,1,'Plantilla Sprint'!TrendDays),OFFSET($H20,0,'Plantilla Sprint'!DoneDays-'Plantilla Sprint'!TrendDays,1,'Plantilla Sprint'!TrendDays),O20)&lt;0,"",TREND(OFFSET($H17,0,'Plantilla Sprint'!DoneDays-'Plantilla Sprint'!TrendDays,1,'Plantilla Sprint'!TrendDays),OFFSET($H20,0,'Plantilla Sprint'!DoneDays-'Plantilla Sprint'!TrendDays,1,'Plantilla Sprint'!TrendDays),O20))</f>
        <v>#VALUE!</v>
      </c>
      <c r="P19" s="1" t="str">
        <f t="array" ref="P19">IF(TREND(OFFSET($H17,0,'Plantilla Sprint'!DoneDays-'Plantilla Sprint'!TrendDays,1,'Plantilla Sprint'!TrendDays),OFFSET($H20,0,'Plantilla Sprint'!DoneDays-'Plantilla Sprint'!TrendDays,1,'Plantilla Sprint'!TrendDays),P20)&lt;0,"",TREND(OFFSET($H17,0,'Plantilla Sprint'!DoneDays-'Plantilla Sprint'!TrendDays,1,'Plantilla Sprint'!TrendDays),OFFSET($H20,0,'Plantilla Sprint'!DoneDays-'Plantilla Sprint'!TrendDays,1,'Plantilla Sprint'!TrendDays),P20))</f>
        <v>#VALUE!</v>
      </c>
      <c r="Q19" s="1" t="str">
        <f t="array" ref="Q19">IF(TREND(OFFSET($H17,0,'Plantilla Sprint'!DoneDays-'Plantilla Sprint'!TrendDays,1,'Plantilla Sprint'!TrendDays),OFFSET($H20,0,'Plantilla Sprint'!DoneDays-'Plantilla Sprint'!TrendDays,1,'Plantilla Sprint'!TrendDays),Q20)&lt;0,"",TREND(OFFSET($H17,0,'Plantilla Sprint'!DoneDays-'Plantilla Sprint'!TrendDays,1,'Plantilla Sprint'!TrendDays),OFFSET($H20,0,'Plantilla Sprint'!DoneDays-'Plantilla Sprint'!TrendDays,1,'Plantilla Sprint'!TrendDays),Q20))</f>
        <v>#VALUE!</v>
      </c>
      <c r="R19" s="1" t="str">
        <f t="array" ref="R19">IF(TREND(OFFSET($H17,0,'Plantilla Sprint'!DoneDays-'Plantilla Sprint'!TrendDays,1,'Plantilla Sprint'!TrendDays),OFFSET($H20,0,'Plantilla Sprint'!DoneDays-'Plantilla Sprint'!TrendDays,1,'Plantilla Sprint'!TrendDays),R20)&lt;0,"",TREND(OFFSET($H17,0,'Plantilla Sprint'!DoneDays-'Plantilla Sprint'!TrendDays,1,'Plantilla Sprint'!TrendDays),OFFSET($H20,0,'Plantilla Sprint'!DoneDays-'Plantilla Sprint'!TrendDays,1,'Plantilla Sprint'!TrendDays),R20))</f>
        <v>#VALUE!</v>
      </c>
      <c r="S19" s="1" t="str">
        <f t="array" ref="S19">IF(TREND(OFFSET($H17,0,'Plantilla Sprint'!DoneDays-'Plantilla Sprint'!TrendDays,1,'Plantilla Sprint'!TrendDays),OFFSET($H20,0,'Plantilla Sprint'!DoneDays-'Plantilla Sprint'!TrendDays,1,'Plantilla Sprint'!TrendDays),S20)&lt;0,"",TREND(OFFSET($H17,0,'Plantilla Sprint'!DoneDays-'Plantilla Sprint'!TrendDays,1,'Plantilla Sprint'!TrendDays),OFFSET($H20,0,'Plantilla Sprint'!DoneDays-'Plantilla Sprint'!TrendDays,1,'Plantilla Sprint'!TrendDays),S20))</f>
        <v>#VALUE!</v>
      </c>
      <c r="T19" s="1" t="str">
        <f t="array" ref="T19">IF(TREND(OFFSET($H17,0,'Plantilla Sprint'!DoneDays-'Plantilla Sprint'!TrendDays,1,'Plantilla Sprint'!TrendDays),OFFSET($H20,0,'Plantilla Sprint'!DoneDays-'Plantilla Sprint'!TrendDays,1,'Plantilla Sprint'!TrendDays),T20)&lt;0,"",TREND(OFFSET($H17,0,'Plantilla Sprint'!DoneDays-'Plantilla Sprint'!TrendDays,1,'Plantilla Sprint'!TrendDays),OFFSET($H20,0,'Plantilla Sprint'!DoneDays-'Plantilla Sprint'!TrendDays,1,'Plantilla Sprint'!TrendDays),T20))</f>
        <v>#VALUE!</v>
      </c>
      <c r="U19" s="1" t="str">
        <f t="array" ref="U19">IF(TREND(OFFSET($H17,0,'Plantilla Sprint'!DoneDays-'Plantilla Sprint'!TrendDays,1,'Plantilla Sprint'!TrendDays),OFFSET($H20,0,'Plantilla Sprint'!DoneDays-'Plantilla Sprint'!TrendDays,1,'Plantilla Sprint'!TrendDays),U20)&lt;0,"",TREND(OFFSET($H17,0,'Plantilla Sprint'!DoneDays-'Plantilla Sprint'!TrendDays,1,'Plantilla Sprint'!TrendDays),OFFSET($H20,0,'Plantilla Sprint'!DoneDays-'Plantilla Sprint'!TrendDays,1,'Plantilla Sprint'!TrendDays),U20))</f>
        <v>#VALUE!</v>
      </c>
      <c r="V19" s="1" t="str">
        <f t="array" ref="V19">IF(TREND(OFFSET($H17,0,'Plantilla Sprint'!DoneDays-'Plantilla Sprint'!TrendDays,1,'Plantilla Sprint'!TrendDays),OFFSET($H20,0,'Plantilla Sprint'!DoneDays-'Plantilla Sprint'!TrendDays,1,'Plantilla Sprint'!TrendDays),V20)&lt;0,"",TREND(OFFSET($H17,0,'Plantilla Sprint'!DoneDays-'Plantilla Sprint'!TrendDays,1,'Plantilla Sprint'!TrendDays),OFFSET($H20,0,'Plantilla Sprint'!DoneDays-'Plantilla Sprint'!TrendDays,1,'Plantilla Sprint'!TrendDays),V20))</f>
        <v>#VALUE!</v>
      </c>
      <c r="W19" s="1" t="str">
        <f t="array" ref="W19">IF(TREND(OFFSET($H17,0,'Plantilla Sprint'!DoneDays-'Plantilla Sprint'!TrendDays,1,'Plantilla Sprint'!TrendDays),OFFSET($H20,0,'Plantilla Sprint'!DoneDays-'Plantilla Sprint'!TrendDays,1,'Plantilla Sprint'!TrendDays),W20)&lt;0,"",TREND(OFFSET($H17,0,'Plantilla Sprint'!DoneDays-'Plantilla Sprint'!TrendDays,1,'Plantilla Sprint'!TrendDays),OFFSET($H20,0,'Plantilla Sprint'!DoneDays-'Plantilla Sprint'!TrendDays,1,'Plantilla Sprint'!TrendDays),W20))</f>
        <v>#VALUE!</v>
      </c>
      <c r="X19" s="1" t="str">
        <f t="array" ref="X19">IF(TREND(OFFSET($H17,0,'Plantilla Sprint'!DoneDays-'Plantilla Sprint'!TrendDays,1,'Plantilla Sprint'!TrendDays),OFFSET($H20,0,'Plantilla Sprint'!DoneDays-'Plantilla Sprint'!TrendDays,1,'Plantilla Sprint'!TrendDays),X20)&lt;0,"",TREND(OFFSET($H17,0,'Plantilla Sprint'!DoneDays-'Plantilla Sprint'!TrendDays,1,'Plantilla Sprint'!TrendDays),OFFSET($H20,0,'Plantilla Sprint'!DoneDays-'Plantilla Sprint'!TrendDays,1,'Plantilla Sprint'!TrendDays),X20))</f>
        <v>#VALUE!</v>
      </c>
      <c r="Y19" s="1" t="str">
        <f t="array" ref="Y19">IF(TREND(OFFSET($H17,0,'Plantilla Sprint'!DoneDays-'Plantilla Sprint'!TrendDays,1,'Plantilla Sprint'!TrendDays),OFFSET($H20,0,'Plantilla Sprint'!DoneDays-'Plantilla Sprint'!TrendDays,1,'Plantilla Sprint'!TrendDays),Y20)&lt;0,"",TREND(OFFSET($H17,0,'Plantilla Sprint'!DoneDays-'Plantilla Sprint'!TrendDays,1,'Plantilla Sprint'!TrendDays),OFFSET($H20,0,'Plantilla Sprint'!DoneDays-'Plantilla Sprint'!TrendDays,1,'Plantilla Sprint'!TrendDays),Y20))</f>
        <v>#VALUE!</v>
      </c>
      <c r="Z19" s="1" t="str">
        <f t="array" ref="Z19">IF(TREND(OFFSET($H17,0,'Plantilla Sprint'!DoneDays-'Plantilla Sprint'!TrendDays,1,'Plantilla Sprint'!TrendDays),OFFSET($H20,0,'Plantilla Sprint'!DoneDays-'Plantilla Sprint'!TrendDays,1,'Plantilla Sprint'!TrendDays),Z20)&lt;0,"",TREND(OFFSET($H17,0,'Plantilla Sprint'!DoneDays-'Plantilla Sprint'!TrendDays,1,'Plantilla Sprint'!TrendDays),OFFSET($H20,0,'Plantilla Sprint'!DoneDays-'Plantilla Sprint'!TrendDays,1,'Plantilla Sprint'!TrendDays),Z20))</f>
        <v>#VALUE!</v>
      </c>
      <c r="AA19" s="1" t="str">
        <f t="array" ref="AA19">IF(TREND(OFFSET($H17,0,'Plantilla Sprint'!DoneDays-'Plantilla Sprint'!TrendDays,1,'Plantilla Sprint'!TrendDays),OFFSET($H20,0,'Plantilla Sprint'!DoneDays-'Plantilla Sprint'!TrendDays,1,'Plantilla Sprint'!TrendDays),AA20)&lt;0,"",TREND(OFFSET($H17,0,'Plantilla Sprint'!DoneDays-'Plantilla Sprint'!TrendDays,1,'Plantilla Sprint'!TrendDays),OFFSET($H20,0,'Plantilla Sprint'!DoneDays-'Plantilla Sprint'!TrendDays,1,'Plantilla Sprint'!TrendDays),AA20))</f>
        <v>#VALUE!</v>
      </c>
      <c r="AB19" s="1" t="str">
        <f t="array" ref="AB19">IF(TREND(OFFSET($H17,0,'Plantilla Sprint'!DoneDays-'Plantilla Sprint'!TrendDays,1,'Plantilla Sprint'!TrendDays),OFFSET($H20,0,'Plantilla Sprint'!DoneDays-'Plantilla Sprint'!TrendDays,1,'Plantilla Sprint'!TrendDays),AB20)&lt;0,"",TREND(OFFSET($H17,0,'Plantilla Sprint'!DoneDays-'Plantilla Sprint'!TrendDays,1,'Plantilla Sprint'!TrendDays),OFFSET($H20,0,'Plantilla Sprint'!DoneDays-'Plantilla Sprint'!TrendDays,1,'Plantilla Sprint'!TrendDays),AB20))</f>
        <v>#VALUE!</v>
      </c>
      <c r="AC19" s="1" t="str">
        <f t="array" ref="AC19">IF(TREND(OFFSET($H17,0,'Plantilla Sprint'!DoneDays-'Plantilla Sprint'!TrendDays,1,'Plantilla Sprint'!TrendDays),OFFSET($H20,0,'Plantilla Sprint'!DoneDays-'Plantilla Sprint'!TrendDays,1,'Plantilla Sprint'!TrendDays),AC20)&lt;0,"",TREND(OFFSET($H17,0,'Plantilla Sprint'!DoneDays-'Plantilla Sprint'!TrendDays,1,'Plantilla Sprint'!TrendDays),OFFSET($H20,0,'Plantilla Sprint'!DoneDays-'Plantilla Sprint'!TrendDays,1,'Plantilla Sprint'!TrendDays),AC20))</f>
        <v>#VALUE!</v>
      </c>
      <c r="AD19" s="1" t="str">
        <f t="array" ref="AD19">IF(TREND(OFFSET($H17,0,'Plantilla Sprint'!DoneDays-'Plantilla Sprint'!TrendDays,1,'Plantilla Sprint'!TrendDays),OFFSET($H20,0,'Plantilla Sprint'!DoneDays-'Plantilla Sprint'!TrendDays,1,'Plantilla Sprint'!TrendDays),AD20)&lt;0,"",TREND(OFFSET($H17,0,'Plantilla Sprint'!DoneDays-'Plantilla Sprint'!TrendDays,1,'Plantilla Sprint'!TrendDays),OFFSET($H20,0,'Plantilla Sprint'!DoneDays-'Plantilla Sprint'!TrendDays,1,'Plantilla Sprint'!TrendDays),AD20))</f>
        <v>#VALUE!</v>
      </c>
      <c r="AE19" s="1" t="str">
        <f t="array" ref="AE19">IF(TREND(OFFSET($H17,0,'Plantilla Sprint'!DoneDays-'Plantilla Sprint'!TrendDays,1,'Plantilla Sprint'!TrendDays),OFFSET($H20,0,'Plantilla Sprint'!DoneDays-'Plantilla Sprint'!TrendDays,1,'Plantilla Sprint'!TrendDays),AE20)&lt;0,"",TREND(OFFSET($H17,0,'Plantilla Sprint'!DoneDays-'Plantilla Sprint'!TrendDays,1,'Plantilla Sprint'!TrendDays),OFFSET($H20,0,'Plantilla Sprint'!DoneDays-'Plantilla Sprint'!TrendDays,1,'Plantilla Sprint'!TrendDays),AE20))</f>
        <v>#VALUE!</v>
      </c>
      <c r="AF19" s="1" t="str">
        <f t="array" ref="AF19">IF(TREND(OFFSET($H17,0,'Plantilla Sprint'!DoneDays-'Plantilla Sprint'!TrendDays,1,'Plantilla Sprint'!TrendDays),OFFSET($H20,0,'Plantilla Sprint'!DoneDays-'Plantilla Sprint'!TrendDays,1,'Plantilla Sprint'!TrendDays),AF20)&lt;0,"",TREND(OFFSET($H17,0,'Plantilla Sprint'!DoneDays-'Plantilla Sprint'!TrendDays,1,'Plantilla Sprint'!TrendDays),OFFSET($H20,0,'Plantilla Sprint'!DoneDays-'Plantilla Sprint'!TrendDays,1,'Plantilla Sprint'!TrendDays),AF20))</f>
        <v>#VALUE!</v>
      </c>
    </row>
    <row r="20" ht="12.75" hidden="1" customHeight="1">
      <c r="C20" s="28" t="s">
        <v>13</v>
      </c>
      <c r="E20" s="24" t="s">
        <v>14</v>
      </c>
      <c r="F20" s="1" t="str">
        <f>IF('Plantilla Sprint'!DoneDays&gt;D17,D17,'Plantilla Sprint'!DoneDays)</f>
        <v/>
      </c>
      <c r="G20" s="1"/>
      <c r="H20" s="1">
        <f>IF('Plantilla Sprint'!DoneDays&gt;G20,G20+1,"")</f>
        <v>1</v>
      </c>
      <c r="I20" s="1">
        <v>2.0</v>
      </c>
      <c r="J20" s="1">
        <v>3.0</v>
      </c>
      <c r="K20" s="1">
        <v>4.0</v>
      </c>
      <c r="L20" s="1">
        <v>5.0</v>
      </c>
      <c r="M20" s="1">
        <v>6.0</v>
      </c>
      <c r="N20" s="1">
        <v>7.0</v>
      </c>
      <c r="O20" s="1">
        <v>8.0</v>
      </c>
      <c r="P20" s="1">
        <v>9.0</v>
      </c>
      <c r="Q20" s="1">
        <v>10.0</v>
      </c>
      <c r="R20" s="1">
        <v>11.0</v>
      </c>
      <c r="S20" s="1">
        <v>12.0</v>
      </c>
      <c r="T20" s="1">
        <v>13.0</v>
      </c>
      <c r="U20" s="1">
        <v>14.0</v>
      </c>
      <c r="V20" s="1">
        <v>15.0</v>
      </c>
      <c r="W20" s="1">
        <v>16.0</v>
      </c>
      <c r="X20" s="1">
        <v>17.0</v>
      </c>
      <c r="Y20" s="1">
        <v>18.0</v>
      </c>
      <c r="Z20" s="1">
        <v>19.0</v>
      </c>
      <c r="AA20" s="1">
        <v>20.0</v>
      </c>
      <c r="AB20" s="1">
        <v>21.0</v>
      </c>
      <c r="AC20" s="1">
        <v>22.0</v>
      </c>
      <c r="AD20" s="1">
        <v>23.0</v>
      </c>
      <c r="AE20" s="1">
        <v>24.0</v>
      </c>
      <c r="AF20" s="1">
        <v>25.0</v>
      </c>
    </row>
    <row r="21" ht="12.75" customHeight="1">
      <c r="B21" s="25" t="s">
        <v>15</v>
      </c>
      <c r="C21" s="29" t="s">
        <v>16</v>
      </c>
      <c r="D21" s="29" t="s">
        <v>17</v>
      </c>
      <c r="E21" s="29" t="s">
        <v>18</v>
      </c>
      <c r="F21" s="29" t="s">
        <v>19</v>
      </c>
      <c r="G21" s="29" t="s">
        <v>20</v>
      </c>
      <c r="H21" s="29">
        <v>1.0</v>
      </c>
      <c r="I21" s="29" t="str">
        <f t="shared" ref="I21:AF21" si="1">IF($D$16&gt;H21,H21+1,"")</f>
        <v/>
      </c>
      <c r="J21" s="29" t="str">
        <f t="shared" si="1"/>
        <v/>
      </c>
      <c r="K21" s="29" t="str">
        <f t="shared" si="1"/>
        <v/>
      </c>
      <c r="L21" s="29" t="str">
        <f t="shared" si="1"/>
        <v/>
      </c>
      <c r="M21" s="29" t="str">
        <f t="shared" si="1"/>
        <v/>
      </c>
      <c r="N21" s="29" t="str">
        <f t="shared" si="1"/>
        <v/>
      </c>
      <c r="O21" s="29" t="str">
        <f t="shared" si="1"/>
        <v/>
      </c>
      <c r="P21" s="29" t="str">
        <f t="shared" si="1"/>
        <v/>
      </c>
      <c r="Q21" s="29" t="str">
        <f t="shared" si="1"/>
        <v/>
      </c>
      <c r="R21" s="29" t="str">
        <f t="shared" si="1"/>
        <v/>
      </c>
      <c r="S21" s="29" t="str">
        <f t="shared" si="1"/>
        <v/>
      </c>
      <c r="T21" s="29" t="str">
        <f t="shared" si="1"/>
        <v/>
      </c>
      <c r="U21" s="29" t="str">
        <f t="shared" si="1"/>
        <v/>
      </c>
      <c r="V21" s="29" t="str">
        <f t="shared" si="1"/>
        <v/>
      </c>
      <c r="W21" s="29" t="str">
        <f t="shared" si="1"/>
        <v/>
      </c>
      <c r="X21" s="29" t="str">
        <f t="shared" si="1"/>
        <v/>
      </c>
      <c r="Y21" s="29" t="str">
        <f t="shared" si="1"/>
        <v/>
      </c>
      <c r="Z21" s="29" t="str">
        <f t="shared" si="1"/>
        <v/>
      </c>
      <c r="AA21" s="29" t="str">
        <f t="shared" si="1"/>
        <v/>
      </c>
      <c r="AB21" s="29" t="str">
        <f t="shared" si="1"/>
        <v/>
      </c>
      <c r="AC21" s="29" t="str">
        <f t="shared" si="1"/>
        <v/>
      </c>
      <c r="AD21" s="29" t="str">
        <f t="shared" si="1"/>
        <v/>
      </c>
      <c r="AE21" s="29" t="str">
        <f t="shared" si="1"/>
        <v/>
      </c>
      <c r="AF21" s="29" t="str">
        <f t="shared" si="1"/>
        <v/>
      </c>
    </row>
    <row r="22" ht="12.75" customHeight="1">
      <c r="D22" s="1"/>
      <c r="F22" s="24" t="str">
        <f t="shared" ref="F22:F63" si="3">IF(C22&lt;&gt;"","Planned","")</f>
        <v/>
      </c>
      <c r="G22" s="1"/>
      <c r="H22" s="1" t="str">
        <f t="shared" ref="H22:H66" si="4">IF(OR(H$21="",$G22=""),"",G22)</f>
        <v/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 t="str">
        <f t="shared" ref="AE22:AF22" si="2">IF(OR(AE$21="",$G22=""),"",AD22)</f>
        <v/>
      </c>
      <c r="AF22" s="1" t="str">
        <f t="shared" si="2"/>
        <v/>
      </c>
    </row>
    <row r="23" ht="12.75" customHeight="1">
      <c r="D23" s="1"/>
      <c r="F23" s="24" t="str">
        <f t="shared" si="3"/>
        <v/>
      </c>
      <c r="G23" s="1"/>
      <c r="H23" s="1" t="str">
        <f t="shared" si="4"/>
        <v/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 t="str">
        <f t="shared" ref="AE23:AF23" si="5">IF(OR(AE$21="",$G23=""),"",AD23)</f>
        <v/>
      </c>
      <c r="AF23" s="1" t="str">
        <f t="shared" si="5"/>
        <v/>
      </c>
    </row>
    <row r="24" ht="12.75" customHeight="1">
      <c r="D24" s="1"/>
      <c r="F24" s="24" t="str">
        <f t="shared" si="3"/>
        <v/>
      </c>
      <c r="G24" s="1"/>
      <c r="H24" s="1" t="str">
        <f t="shared" si="4"/>
        <v/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 t="str">
        <f t="shared" ref="AE24:AF24" si="6">IF(OR(AE$21="",$G24=""),"",AD24)</f>
        <v/>
      </c>
      <c r="AF24" s="1" t="str">
        <f t="shared" si="6"/>
        <v/>
      </c>
    </row>
    <row r="25" ht="12.75" customHeight="1">
      <c r="D25" s="1"/>
      <c r="F25" s="24" t="str">
        <f t="shared" si="3"/>
        <v/>
      </c>
      <c r="G25" s="1"/>
      <c r="H25" s="1" t="str">
        <f t="shared" si="4"/>
        <v/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 t="str">
        <f t="shared" ref="AE25:AF25" si="7">IF(OR(AE$21="",$G25=""),"",AD25)</f>
        <v/>
      </c>
      <c r="AF25" s="1" t="str">
        <f t="shared" si="7"/>
        <v/>
      </c>
    </row>
    <row r="26" ht="12.75" customHeight="1">
      <c r="D26" s="1"/>
      <c r="F26" s="24" t="str">
        <f t="shared" si="3"/>
        <v/>
      </c>
      <c r="G26" s="1"/>
      <c r="H26" s="1" t="str">
        <f t="shared" si="4"/>
        <v/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 t="str">
        <f t="shared" ref="AE26:AF26" si="8">IF(OR(AE$21="",$G26=""),"",AD26)</f>
        <v/>
      </c>
      <c r="AF26" s="1" t="str">
        <f t="shared" si="8"/>
        <v/>
      </c>
    </row>
    <row r="27" ht="12.75" customHeight="1">
      <c r="D27" s="1"/>
      <c r="F27" s="24" t="str">
        <f t="shared" si="3"/>
        <v/>
      </c>
      <c r="G27" s="1"/>
      <c r="H27" s="1" t="str">
        <f t="shared" si="4"/>
        <v/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 t="str">
        <f t="shared" ref="AE27:AF27" si="9">IF(OR(AE$21="",$G27=""),"",AD27)</f>
        <v/>
      </c>
      <c r="AF27" s="1" t="str">
        <f t="shared" si="9"/>
        <v/>
      </c>
    </row>
    <row r="28" ht="12.75" customHeight="1">
      <c r="D28" s="1"/>
      <c r="F28" s="24" t="str">
        <f t="shared" si="3"/>
        <v/>
      </c>
      <c r="G28" s="1"/>
      <c r="H28" s="1" t="str">
        <f t="shared" si="4"/>
        <v/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 t="str">
        <f t="shared" ref="AE28:AF28" si="10">IF(OR(AE$21="",$G28=""),"",AD28)</f>
        <v/>
      </c>
      <c r="AF28" s="1" t="str">
        <f t="shared" si="10"/>
        <v/>
      </c>
    </row>
    <row r="29" ht="12.75" customHeight="1">
      <c r="D29" s="1"/>
      <c r="F29" s="24" t="str">
        <f t="shared" si="3"/>
        <v/>
      </c>
      <c r="G29" s="1"/>
      <c r="H29" s="1" t="str">
        <f t="shared" si="4"/>
        <v/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 t="str">
        <f t="shared" ref="AE29:AF29" si="11">IF(OR(AE$21="",$G29=""),"",AD29)</f>
        <v/>
      </c>
      <c r="AF29" s="1" t="str">
        <f t="shared" si="11"/>
        <v/>
      </c>
    </row>
    <row r="30" ht="12.75" customHeight="1">
      <c r="D30" s="1"/>
      <c r="F30" s="24" t="str">
        <f t="shared" si="3"/>
        <v/>
      </c>
      <c r="G30" s="1"/>
      <c r="H30" s="1" t="str">
        <f t="shared" si="4"/>
        <v/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 t="str">
        <f t="shared" ref="AE30:AF30" si="12">IF(OR(AE$21="",$G30=""),"",AD30)</f>
        <v/>
      </c>
      <c r="AF30" s="1" t="str">
        <f t="shared" si="12"/>
        <v/>
      </c>
    </row>
    <row r="31" ht="12.75" customHeight="1">
      <c r="D31" s="1"/>
      <c r="F31" s="24" t="str">
        <f t="shared" si="3"/>
        <v/>
      </c>
      <c r="G31" s="1"/>
      <c r="H31" s="1" t="str">
        <f t="shared" si="4"/>
        <v/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 t="str">
        <f t="shared" ref="AE31:AF31" si="13">IF(OR(AE$21="",$G31=""),"",AD31)</f>
        <v/>
      </c>
      <c r="AF31" s="1" t="str">
        <f t="shared" si="13"/>
        <v/>
      </c>
    </row>
    <row r="32" ht="12.75" customHeight="1">
      <c r="D32" s="1"/>
      <c r="F32" s="24" t="str">
        <f t="shared" si="3"/>
        <v/>
      </c>
      <c r="G32" s="1"/>
      <c r="H32" s="1" t="str">
        <f t="shared" si="4"/>
        <v/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 t="str">
        <f t="shared" ref="AE32:AF32" si="14">IF(OR(AE$21="",$G32=""),"",AD32)</f>
        <v/>
      </c>
      <c r="AF32" s="1" t="str">
        <f t="shared" si="14"/>
        <v/>
      </c>
    </row>
    <row r="33" ht="12.75" customHeight="1">
      <c r="D33" s="1"/>
      <c r="F33" s="24" t="str">
        <f t="shared" si="3"/>
        <v/>
      </c>
      <c r="G33" s="1"/>
      <c r="H33" s="1" t="str">
        <f t="shared" si="4"/>
        <v/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 t="str">
        <f t="shared" ref="AE33:AF33" si="15">IF(OR(AE$21="",$G33=""),"",AD33)</f>
        <v/>
      </c>
      <c r="AF33" s="1" t="str">
        <f t="shared" si="15"/>
        <v/>
      </c>
    </row>
    <row r="34" ht="12.75" customHeight="1">
      <c r="D34" s="1"/>
      <c r="F34" s="24" t="str">
        <f t="shared" si="3"/>
        <v/>
      </c>
      <c r="G34" s="1"/>
      <c r="H34" s="1" t="str">
        <f t="shared" si="4"/>
        <v/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 t="str">
        <f t="shared" ref="AE34:AF34" si="16">IF(OR(AE$21="",$G34=""),"",AD34)</f>
        <v/>
      </c>
      <c r="AF34" s="1" t="str">
        <f t="shared" si="16"/>
        <v/>
      </c>
    </row>
    <row r="35" ht="12.75" customHeight="1">
      <c r="D35" s="1"/>
      <c r="F35" s="24" t="str">
        <f t="shared" si="3"/>
        <v/>
      </c>
      <c r="G35" s="1"/>
      <c r="H35" s="1" t="str">
        <f t="shared" si="4"/>
        <v/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 t="str">
        <f t="shared" ref="AE35:AF35" si="17">IF(OR(AE$21="",$G35=""),"",AD35)</f>
        <v/>
      </c>
      <c r="AF35" s="1" t="str">
        <f t="shared" si="17"/>
        <v/>
      </c>
    </row>
    <row r="36" ht="12.75" customHeight="1">
      <c r="D36" s="1"/>
      <c r="F36" s="24" t="str">
        <f t="shared" si="3"/>
        <v/>
      </c>
      <c r="G36" s="1"/>
      <c r="H36" s="1" t="str">
        <f t="shared" si="4"/>
        <v/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 t="str">
        <f t="shared" ref="AE36:AF36" si="18">IF(OR(AE$21="",$G36=""),"",AD36)</f>
        <v/>
      </c>
      <c r="AF36" s="1" t="str">
        <f t="shared" si="18"/>
        <v/>
      </c>
    </row>
    <row r="37" ht="12.75" customHeight="1">
      <c r="D37" s="1"/>
      <c r="F37" s="24" t="str">
        <f t="shared" si="3"/>
        <v/>
      </c>
      <c r="G37" s="1"/>
      <c r="H37" s="1" t="str">
        <f t="shared" si="4"/>
        <v/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 t="str">
        <f t="shared" ref="AE37:AF37" si="19">IF(OR(AE$21="",$G37=""),"",AD37)</f>
        <v/>
      </c>
      <c r="AF37" s="1" t="str">
        <f t="shared" si="19"/>
        <v/>
      </c>
    </row>
    <row r="38" ht="12.75" customHeight="1">
      <c r="D38" s="1"/>
      <c r="F38" s="24" t="str">
        <f t="shared" si="3"/>
        <v/>
      </c>
      <c r="G38" s="1"/>
      <c r="H38" s="1" t="str">
        <f t="shared" si="4"/>
        <v/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 t="str">
        <f t="shared" ref="AE38:AF38" si="20">IF(OR(AE$21="",$G38=""),"",AD38)</f>
        <v/>
      </c>
      <c r="AF38" s="1" t="str">
        <f t="shared" si="20"/>
        <v/>
      </c>
    </row>
    <row r="39" ht="12.75" customHeight="1">
      <c r="D39" s="1"/>
      <c r="F39" s="24" t="str">
        <f t="shared" si="3"/>
        <v/>
      </c>
      <c r="G39" s="1"/>
      <c r="H39" s="1" t="str">
        <f t="shared" si="4"/>
        <v/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 t="str">
        <f t="shared" ref="AE39:AF39" si="21">IF(OR(AE$21="",$G39=""),"",AD39)</f>
        <v/>
      </c>
      <c r="AF39" s="1" t="str">
        <f t="shared" si="21"/>
        <v/>
      </c>
    </row>
    <row r="40" ht="12.75" customHeight="1">
      <c r="D40" s="1"/>
      <c r="F40" s="24" t="str">
        <f t="shared" si="3"/>
        <v/>
      </c>
      <c r="G40" s="1"/>
      <c r="H40" s="1" t="str">
        <f t="shared" si="4"/>
        <v/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 t="str">
        <f t="shared" ref="AE40:AF40" si="22">IF(OR(AE$21="",$G40=""),"",AD40)</f>
        <v/>
      </c>
      <c r="AF40" s="1" t="str">
        <f t="shared" si="22"/>
        <v/>
      </c>
    </row>
    <row r="41" ht="12.75" customHeight="1">
      <c r="D41" s="1"/>
      <c r="F41" s="24" t="str">
        <f t="shared" si="3"/>
        <v/>
      </c>
      <c r="G41" s="1"/>
      <c r="H41" s="1" t="str">
        <f t="shared" si="4"/>
        <v/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 t="str">
        <f t="shared" ref="AE41:AF41" si="23">IF(OR(AE$21="",$G41=""),"",AD41)</f>
        <v/>
      </c>
      <c r="AF41" s="1" t="str">
        <f t="shared" si="23"/>
        <v/>
      </c>
    </row>
    <row r="42" ht="12.75" customHeight="1">
      <c r="D42" s="1"/>
      <c r="F42" s="24" t="str">
        <f t="shared" si="3"/>
        <v/>
      </c>
      <c r="G42" s="1"/>
      <c r="H42" s="1" t="str">
        <f t="shared" si="4"/>
        <v/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 t="str">
        <f t="shared" ref="AE42:AF42" si="24">IF(OR(AE$21="",$G42=""),"",AD42)</f>
        <v/>
      </c>
      <c r="AF42" s="1" t="str">
        <f t="shared" si="24"/>
        <v/>
      </c>
    </row>
    <row r="43" ht="12.75" customHeight="1">
      <c r="D43" s="1"/>
      <c r="F43" s="24" t="str">
        <f t="shared" si="3"/>
        <v/>
      </c>
      <c r="G43" s="1"/>
      <c r="H43" s="1" t="str">
        <f t="shared" si="4"/>
        <v/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 t="str">
        <f t="shared" ref="AE43:AF43" si="25">IF(OR(AE$21="",$G43=""),"",AD43)</f>
        <v/>
      </c>
      <c r="AF43" s="1" t="str">
        <f t="shared" si="25"/>
        <v/>
      </c>
    </row>
    <row r="44" ht="12.75" customHeight="1">
      <c r="D44" s="1"/>
      <c r="F44" s="24" t="str">
        <f t="shared" si="3"/>
        <v/>
      </c>
      <c r="G44" s="1"/>
      <c r="H44" s="1" t="str">
        <f t="shared" si="4"/>
        <v/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 t="str">
        <f t="shared" ref="AE44:AF44" si="26">IF(OR(AE$21="",$G44=""),"",AD44)</f>
        <v/>
      </c>
      <c r="AF44" s="1" t="str">
        <f t="shared" si="26"/>
        <v/>
      </c>
    </row>
    <row r="45" ht="12.75" customHeight="1">
      <c r="D45" s="1"/>
      <c r="F45" s="24" t="str">
        <f t="shared" si="3"/>
        <v/>
      </c>
      <c r="G45" s="1"/>
      <c r="H45" s="1" t="str">
        <f t="shared" si="4"/>
        <v/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 t="str">
        <f t="shared" ref="AE45:AF45" si="27">IF(OR(AE$21="",$G45=""),"",AD45)</f>
        <v/>
      </c>
      <c r="AF45" s="1" t="str">
        <f t="shared" si="27"/>
        <v/>
      </c>
    </row>
    <row r="46" ht="12.75" customHeight="1">
      <c r="D46" s="1"/>
      <c r="F46" s="24" t="str">
        <f t="shared" si="3"/>
        <v/>
      </c>
      <c r="G46" s="1"/>
      <c r="H46" s="1" t="str">
        <f t="shared" si="4"/>
        <v/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 t="str">
        <f t="shared" ref="AE46:AF46" si="28">IF(OR(AE$21="",$G46=""),"",AD46)</f>
        <v/>
      </c>
      <c r="AF46" s="1" t="str">
        <f t="shared" si="28"/>
        <v/>
      </c>
    </row>
    <row r="47" ht="12.75" customHeight="1">
      <c r="D47" s="1"/>
      <c r="F47" s="24" t="str">
        <f t="shared" si="3"/>
        <v/>
      </c>
      <c r="G47" s="1"/>
      <c r="H47" s="1" t="str">
        <f t="shared" si="4"/>
        <v/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 t="str">
        <f t="shared" ref="AE47:AF47" si="29">IF(OR(AE$21="",$G47=""),"",AD47)</f>
        <v/>
      </c>
      <c r="AF47" s="1" t="str">
        <f t="shared" si="29"/>
        <v/>
      </c>
    </row>
    <row r="48" ht="12.75" customHeight="1">
      <c r="D48" s="1"/>
      <c r="F48" s="24" t="str">
        <f t="shared" si="3"/>
        <v/>
      </c>
      <c r="G48" s="1"/>
      <c r="H48" s="1" t="str">
        <f t="shared" si="4"/>
        <v/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 t="str">
        <f t="shared" ref="AE48:AF48" si="30">IF(OR(AE$21="",$G48=""),"",AD48)</f>
        <v/>
      </c>
      <c r="AF48" s="1" t="str">
        <f t="shared" si="30"/>
        <v/>
      </c>
    </row>
    <row r="49" ht="12.75" customHeight="1">
      <c r="D49" s="1"/>
      <c r="F49" s="24" t="str">
        <f t="shared" si="3"/>
        <v/>
      </c>
      <c r="G49" s="1"/>
      <c r="H49" s="1" t="str">
        <f t="shared" si="4"/>
        <v/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 t="str">
        <f t="shared" ref="AE49:AF49" si="31">IF(OR(AE$21="",$G49=""),"",AD49)</f>
        <v/>
      </c>
      <c r="AF49" s="1" t="str">
        <f t="shared" si="31"/>
        <v/>
      </c>
    </row>
    <row r="50" ht="12.75" customHeight="1">
      <c r="D50" s="1"/>
      <c r="F50" s="24" t="str">
        <f t="shared" si="3"/>
        <v/>
      </c>
      <c r="G50" s="1"/>
      <c r="H50" s="1" t="str">
        <f t="shared" si="4"/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 t="str">
        <f t="shared" ref="AE50:AF50" si="32">IF(OR(AE$21="",$G50=""),"",AD50)</f>
        <v/>
      </c>
      <c r="AF50" s="1" t="str">
        <f t="shared" si="32"/>
        <v/>
      </c>
    </row>
    <row r="51" ht="12.75" customHeight="1">
      <c r="D51" s="1"/>
      <c r="F51" s="24" t="str">
        <f t="shared" si="3"/>
        <v/>
      </c>
      <c r="G51" s="1"/>
      <c r="H51" s="1" t="str">
        <f t="shared" si="4"/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 t="str">
        <f t="shared" ref="AE51:AF51" si="33">IF(OR(AE$21="",$G51=""),"",AD51)</f>
        <v/>
      </c>
      <c r="AF51" s="1" t="str">
        <f t="shared" si="33"/>
        <v/>
      </c>
    </row>
    <row r="52" ht="12.75" customHeight="1">
      <c r="D52" s="1"/>
      <c r="F52" s="24" t="str">
        <f t="shared" si="3"/>
        <v/>
      </c>
      <c r="G52" s="1"/>
      <c r="H52" s="1" t="str">
        <f t="shared" si="4"/>
        <v/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 t="str">
        <f t="shared" ref="AE52:AF52" si="34">IF(OR(AE$21="",$G52=""),"",AD52)</f>
        <v/>
      </c>
      <c r="AF52" s="1" t="str">
        <f t="shared" si="34"/>
        <v/>
      </c>
    </row>
    <row r="53" ht="12.75" customHeight="1">
      <c r="D53" s="1"/>
      <c r="F53" s="24" t="str">
        <f t="shared" si="3"/>
        <v/>
      </c>
      <c r="G53" s="1"/>
      <c r="H53" s="1" t="str">
        <f t="shared" si="4"/>
        <v/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 t="str">
        <f t="shared" ref="AE53:AF53" si="35">IF(OR(AE$21="",$G53=""),"",AD53)</f>
        <v/>
      </c>
      <c r="AF53" s="1" t="str">
        <f t="shared" si="35"/>
        <v/>
      </c>
    </row>
    <row r="54" ht="12.75" customHeight="1">
      <c r="D54" s="1"/>
      <c r="F54" s="24" t="str">
        <f t="shared" si="3"/>
        <v/>
      </c>
      <c r="G54" s="1"/>
      <c r="H54" s="1" t="str">
        <f t="shared" si="4"/>
        <v/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 t="str">
        <f t="shared" ref="AE54:AF54" si="36">IF(OR(AE$21="",$G54=""),"",AD54)</f>
        <v/>
      </c>
      <c r="AF54" s="1" t="str">
        <f t="shared" si="36"/>
        <v/>
      </c>
    </row>
    <row r="55" ht="12.75" customHeight="1">
      <c r="D55" s="1"/>
      <c r="F55" s="24" t="str">
        <f t="shared" si="3"/>
        <v/>
      </c>
      <c r="G55" s="1"/>
      <c r="H55" s="1" t="str">
        <f t="shared" si="4"/>
        <v/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 t="str">
        <f t="shared" ref="AE55:AF55" si="37">IF(OR(AE$21="",$G55=""),"",AD55)</f>
        <v/>
      </c>
      <c r="AF55" s="1" t="str">
        <f t="shared" si="37"/>
        <v/>
      </c>
    </row>
    <row r="56" ht="12.75" customHeight="1">
      <c r="D56" s="1"/>
      <c r="F56" s="24" t="str">
        <f t="shared" si="3"/>
        <v/>
      </c>
      <c r="G56" s="1"/>
      <c r="H56" s="1" t="str">
        <f t="shared" si="4"/>
        <v/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 t="str">
        <f t="shared" ref="AE56:AF56" si="38">IF(OR(AE$21="",$G56=""),"",AD56)</f>
        <v/>
      </c>
      <c r="AF56" s="1" t="str">
        <f t="shared" si="38"/>
        <v/>
      </c>
    </row>
    <row r="57" ht="12.75" customHeight="1">
      <c r="D57" s="1"/>
      <c r="F57" s="24" t="str">
        <f t="shared" si="3"/>
        <v/>
      </c>
      <c r="G57" s="1"/>
      <c r="H57" s="1" t="str">
        <f t="shared" si="4"/>
        <v/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 t="str">
        <f t="shared" ref="AE57:AF57" si="39">IF(OR(AE$21="",$G57=""),"",AD57)</f>
        <v/>
      </c>
      <c r="AF57" s="1" t="str">
        <f t="shared" si="39"/>
        <v/>
      </c>
    </row>
    <row r="58" ht="12.75" customHeight="1">
      <c r="D58" s="1"/>
      <c r="F58" s="24" t="str">
        <f t="shared" si="3"/>
        <v/>
      </c>
      <c r="G58" s="1"/>
      <c r="H58" s="1" t="str">
        <f t="shared" si="4"/>
        <v/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 t="str">
        <f t="shared" ref="AE58:AF58" si="40">IF(OR(AE$21="",$G58=""),"",AD58)</f>
        <v/>
      </c>
      <c r="AF58" s="1" t="str">
        <f t="shared" si="40"/>
        <v/>
      </c>
    </row>
    <row r="59" ht="12.75" customHeight="1">
      <c r="D59" s="1"/>
      <c r="F59" s="24" t="str">
        <f t="shared" si="3"/>
        <v/>
      </c>
      <c r="G59" s="1"/>
      <c r="H59" s="1" t="str">
        <f t="shared" si="4"/>
        <v/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 t="str">
        <f t="shared" ref="AE59:AF59" si="41">IF(OR(AE$21="",$G59=""),"",AD59)</f>
        <v/>
      </c>
      <c r="AF59" s="1" t="str">
        <f t="shared" si="41"/>
        <v/>
      </c>
    </row>
    <row r="60" ht="12.75" customHeight="1">
      <c r="D60" s="1"/>
      <c r="F60" s="24" t="str">
        <f t="shared" si="3"/>
        <v/>
      </c>
      <c r="G60" s="1"/>
      <c r="H60" s="1" t="str">
        <f t="shared" si="4"/>
        <v/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 t="str">
        <f t="shared" ref="AE60:AF60" si="42">IF(OR(AE$21="",$G60=""),"",AD60)</f>
        <v/>
      </c>
      <c r="AF60" s="1" t="str">
        <f t="shared" si="42"/>
        <v/>
      </c>
    </row>
    <row r="61" ht="12.75" customHeight="1">
      <c r="D61" s="1"/>
      <c r="F61" s="24" t="str">
        <f t="shared" si="3"/>
        <v/>
      </c>
      <c r="G61" s="1"/>
      <c r="H61" s="1" t="str">
        <f t="shared" si="4"/>
        <v/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 t="str">
        <f t="shared" ref="AE61:AF61" si="43">IF(OR(AE$21="",$G61=""),"",AD61)</f>
        <v/>
      </c>
      <c r="AF61" s="1" t="str">
        <f t="shared" si="43"/>
        <v/>
      </c>
    </row>
    <row r="62" ht="12.75" customHeight="1">
      <c r="D62" s="1"/>
      <c r="F62" s="24" t="str">
        <f t="shared" si="3"/>
        <v/>
      </c>
      <c r="G62" s="1"/>
      <c r="H62" s="1" t="str">
        <f t="shared" si="4"/>
        <v/>
      </c>
      <c r="I62" s="1" t="str">
        <f t="shared" ref="I62:AF62" si="44">IF(OR(I$21="",$G62=""),"",H62)</f>
        <v/>
      </c>
      <c r="J62" s="1" t="str">
        <f t="shared" si="44"/>
        <v/>
      </c>
      <c r="K62" s="1" t="str">
        <f t="shared" si="44"/>
        <v/>
      </c>
      <c r="L62" s="1" t="str">
        <f t="shared" si="44"/>
        <v/>
      </c>
      <c r="M62" s="1" t="str">
        <f t="shared" si="44"/>
        <v/>
      </c>
      <c r="N62" s="1" t="str">
        <f t="shared" si="44"/>
        <v/>
      </c>
      <c r="O62" s="1" t="str">
        <f t="shared" si="44"/>
        <v/>
      </c>
      <c r="P62" s="1" t="str">
        <f t="shared" si="44"/>
        <v/>
      </c>
      <c r="Q62" s="1" t="str">
        <f t="shared" si="44"/>
        <v/>
      </c>
      <c r="R62" s="1" t="str">
        <f t="shared" si="44"/>
        <v/>
      </c>
      <c r="S62" s="1" t="str">
        <f t="shared" si="44"/>
        <v/>
      </c>
      <c r="T62" s="1" t="str">
        <f t="shared" si="44"/>
        <v/>
      </c>
      <c r="U62" s="1" t="str">
        <f t="shared" si="44"/>
        <v/>
      </c>
      <c r="V62" s="1" t="str">
        <f t="shared" si="44"/>
        <v/>
      </c>
      <c r="W62" s="1" t="str">
        <f t="shared" si="44"/>
        <v/>
      </c>
      <c r="X62" s="1" t="str">
        <f t="shared" si="44"/>
        <v/>
      </c>
      <c r="Y62" s="1" t="str">
        <f t="shared" si="44"/>
        <v/>
      </c>
      <c r="Z62" s="1" t="str">
        <f t="shared" si="44"/>
        <v/>
      </c>
      <c r="AA62" s="1" t="str">
        <f t="shared" si="44"/>
        <v/>
      </c>
      <c r="AB62" s="1" t="str">
        <f t="shared" si="44"/>
        <v/>
      </c>
      <c r="AC62" s="1" t="str">
        <f t="shared" si="44"/>
        <v/>
      </c>
      <c r="AD62" s="1" t="str">
        <f t="shared" si="44"/>
        <v/>
      </c>
      <c r="AE62" s="1" t="str">
        <f t="shared" si="44"/>
        <v/>
      </c>
      <c r="AF62" s="1" t="str">
        <f t="shared" si="44"/>
        <v/>
      </c>
    </row>
    <row r="63" ht="12.75" customHeight="1">
      <c r="D63" s="1"/>
      <c r="F63" s="24" t="str">
        <f t="shared" si="3"/>
        <v/>
      </c>
      <c r="G63" s="1"/>
      <c r="H63" s="1" t="str">
        <f t="shared" si="4"/>
        <v/>
      </c>
      <c r="I63" s="1" t="str">
        <f t="shared" ref="I63:AF63" si="45">IF(OR(I$21="",$G63=""),"",H63)</f>
        <v/>
      </c>
      <c r="J63" s="1" t="str">
        <f t="shared" si="45"/>
        <v/>
      </c>
      <c r="K63" s="1" t="str">
        <f t="shared" si="45"/>
        <v/>
      </c>
      <c r="L63" s="1" t="str">
        <f t="shared" si="45"/>
        <v/>
      </c>
      <c r="M63" s="1" t="str">
        <f t="shared" si="45"/>
        <v/>
      </c>
      <c r="N63" s="1" t="str">
        <f t="shared" si="45"/>
        <v/>
      </c>
      <c r="O63" s="1" t="str">
        <f t="shared" si="45"/>
        <v/>
      </c>
      <c r="P63" s="1" t="str">
        <f t="shared" si="45"/>
        <v/>
      </c>
      <c r="Q63" s="1" t="str">
        <f t="shared" si="45"/>
        <v/>
      </c>
      <c r="R63" s="1" t="str">
        <f t="shared" si="45"/>
        <v/>
      </c>
      <c r="S63" s="1" t="str">
        <f t="shared" si="45"/>
        <v/>
      </c>
      <c r="T63" s="1" t="str">
        <f t="shared" si="45"/>
        <v/>
      </c>
      <c r="U63" s="1" t="str">
        <f t="shared" si="45"/>
        <v/>
      </c>
      <c r="V63" s="1" t="str">
        <f t="shared" si="45"/>
        <v/>
      </c>
      <c r="W63" s="1" t="str">
        <f t="shared" si="45"/>
        <v/>
      </c>
      <c r="X63" s="1" t="str">
        <f t="shared" si="45"/>
        <v/>
      </c>
      <c r="Y63" s="1" t="str">
        <f t="shared" si="45"/>
        <v/>
      </c>
      <c r="Z63" s="1" t="str">
        <f t="shared" si="45"/>
        <v/>
      </c>
      <c r="AA63" s="1" t="str">
        <f t="shared" si="45"/>
        <v/>
      </c>
      <c r="AB63" s="1" t="str">
        <f t="shared" si="45"/>
        <v/>
      </c>
      <c r="AC63" s="1" t="str">
        <f t="shared" si="45"/>
        <v/>
      </c>
      <c r="AD63" s="1" t="str">
        <f t="shared" si="45"/>
        <v/>
      </c>
      <c r="AE63" s="1" t="str">
        <f t="shared" si="45"/>
        <v/>
      </c>
      <c r="AF63" s="1" t="str">
        <f t="shared" si="45"/>
        <v/>
      </c>
    </row>
    <row r="64" ht="12.75" customHeight="1">
      <c r="D64" s="1"/>
      <c r="F64" s="24" t="s">
        <v>47</v>
      </c>
      <c r="G64" s="1"/>
      <c r="H64" s="1" t="str">
        <f t="shared" si="4"/>
        <v/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 t="str">
        <f t="shared" ref="AE64:AF64" si="46">IF(OR(AE$21="",$G64=""),"",AD64)</f>
        <v/>
      </c>
      <c r="AF64" s="1" t="str">
        <f t="shared" si="46"/>
        <v/>
      </c>
    </row>
    <row r="65" ht="12.75" customHeight="1">
      <c r="D65" s="1"/>
      <c r="F65" s="24" t="s">
        <v>48</v>
      </c>
      <c r="G65" s="1"/>
      <c r="H65" s="1" t="str">
        <f t="shared" si="4"/>
        <v/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 t="str">
        <f t="shared" ref="AE65:AF65" si="47">IF(OR(AE$21="",$G65=""),"",AD65)</f>
        <v/>
      </c>
      <c r="AF65" s="1" t="str">
        <f t="shared" si="47"/>
        <v/>
      </c>
    </row>
    <row r="66" ht="12.75" customHeight="1">
      <c r="D66" s="1"/>
      <c r="F66" s="24" t="s">
        <v>49</v>
      </c>
      <c r="G66" s="1"/>
      <c r="H66" s="1" t="str">
        <f t="shared" si="4"/>
        <v/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ht="12.75" customHeight="1">
      <c r="D67" s="1"/>
      <c r="F67" s="24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ht="12.75" customHeight="1">
      <c r="D68" s="1"/>
      <c r="F68" s="24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ht="12.75" customHeight="1">
      <c r="D69" s="1"/>
      <c r="F69" s="24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ht="12.75" customHeight="1">
      <c r="D70" s="1"/>
      <c r="F70" s="24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ht="12.75" customHeight="1">
      <c r="A71" s="1"/>
      <c r="D71" s="1"/>
      <c r="F71" s="24" t="str">
        <f>IF(C71&lt;&gt;"","Planned","")</f>
        <v/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ht="12.75" customHeight="1">
      <c r="D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ht="12.75" customHeight="1">
      <c r="D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ht="12.75" customHeight="1">
      <c r="D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ht="12.75" customHeight="1">
      <c r="D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ht="12.75" customHeight="1">
      <c r="D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ht="12.75" customHeight="1">
      <c r="D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ht="12.75" customHeight="1">
      <c r="D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ht="12.75" customHeight="1">
      <c r="D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ht="12.75" customHeight="1">
      <c r="D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ht="12.75" customHeight="1">
      <c r="D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ht="12.75" customHeight="1">
      <c r="D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ht="12.75" customHeight="1">
      <c r="D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ht="12.75" customHeight="1">
      <c r="D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ht="12.75" customHeight="1">
      <c r="D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ht="12.75" customHeight="1">
      <c r="D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ht="12.75" customHeight="1">
      <c r="D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ht="12.75" customHeight="1">
      <c r="D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ht="12.75" customHeight="1">
      <c r="D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ht="12.75" customHeight="1">
      <c r="D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ht="12.75" customHeight="1">
      <c r="D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ht="12.75" customHeight="1">
      <c r="D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ht="12.75" customHeight="1">
      <c r="D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ht="12.75" customHeight="1">
      <c r="D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ht="12.75" customHeight="1">
      <c r="D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ht="12.75" customHeight="1">
      <c r="D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ht="12.75" customHeight="1">
      <c r="D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ht="12.75" customHeight="1">
      <c r="D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ht="12.75" customHeight="1">
      <c r="D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ht="12.75" customHeight="1">
      <c r="D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ht="12.75" customHeight="1">
      <c r="D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ht="12.75" customHeight="1">
      <c r="D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ht="12.75" customHeight="1">
      <c r="D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ht="12.75" customHeight="1">
      <c r="D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ht="12.75" customHeight="1">
      <c r="D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ht="12.75" customHeight="1">
      <c r="D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ht="12.75" customHeight="1">
      <c r="D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ht="12.75" customHeight="1">
      <c r="D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ht="12.75" customHeight="1">
      <c r="D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ht="12.75" customHeight="1">
      <c r="D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ht="12.75" customHeight="1">
      <c r="D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ht="12.75" customHeight="1">
      <c r="D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ht="12.75" customHeight="1">
      <c r="D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ht="12.75" customHeight="1">
      <c r="D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ht="12.75" customHeight="1">
      <c r="D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ht="12.75" customHeight="1">
      <c r="D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ht="12.75" customHeight="1">
      <c r="D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ht="12.75" customHeight="1">
      <c r="D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ht="12.75" customHeight="1">
      <c r="D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ht="12.75" customHeight="1">
      <c r="D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ht="12.75" customHeight="1">
      <c r="D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ht="12.75" customHeight="1">
      <c r="D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ht="12.75" customHeight="1">
      <c r="D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ht="12.75" customHeight="1">
      <c r="D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ht="12.75" customHeight="1">
      <c r="D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ht="12.75" customHeight="1">
      <c r="D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ht="12.75" customHeight="1">
      <c r="D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ht="12.75" customHeight="1">
      <c r="D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ht="12.75" customHeight="1">
      <c r="D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ht="12.75" customHeight="1">
      <c r="D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ht="12.75" customHeight="1">
      <c r="D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ht="12.75" customHeight="1">
      <c r="D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ht="12.75" customHeight="1">
      <c r="D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ht="12.75" customHeight="1">
      <c r="D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ht="12.75" customHeight="1">
      <c r="D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ht="12.75" customHeight="1">
      <c r="D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ht="12.75" customHeight="1">
      <c r="D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ht="12.75" customHeight="1">
      <c r="D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ht="12.75" customHeight="1">
      <c r="D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ht="12.75" customHeight="1">
      <c r="D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ht="12.75" customHeight="1">
      <c r="D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ht="12.75" customHeight="1">
      <c r="D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ht="12.75" customHeight="1">
      <c r="D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ht="12.75" customHeight="1">
      <c r="D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ht="12.75" customHeight="1">
      <c r="D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ht="12.75" customHeight="1">
      <c r="D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ht="12.75" customHeight="1">
      <c r="D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ht="12.75" customHeight="1">
      <c r="D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ht="12.75" customHeight="1">
      <c r="D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ht="12.75" customHeight="1">
      <c r="D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ht="12.75" customHeight="1">
      <c r="D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ht="12.75" customHeight="1">
      <c r="D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ht="12.75" customHeight="1">
      <c r="D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ht="12.75" customHeight="1">
      <c r="D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ht="12.75" customHeight="1">
      <c r="D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ht="12.75" customHeight="1">
      <c r="D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ht="12.75" customHeight="1">
      <c r="D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ht="12.75" customHeight="1">
      <c r="D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ht="12.75" customHeight="1">
      <c r="D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ht="12.75" customHeight="1">
      <c r="D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ht="12.75" customHeight="1">
      <c r="D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ht="12.75" customHeight="1">
      <c r="D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ht="12.75" customHeight="1">
      <c r="D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ht="12.75" customHeight="1">
      <c r="D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ht="12.75" customHeight="1">
      <c r="D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ht="12.75" customHeight="1">
      <c r="D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ht="12.75" customHeight="1">
      <c r="D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ht="12.75" customHeight="1">
      <c r="D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ht="12.75" customHeight="1">
      <c r="D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ht="12.75" customHeight="1">
      <c r="D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ht="12.75" customHeight="1">
      <c r="D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ht="12.75" customHeight="1">
      <c r="D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ht="12.75" customHeight="1">
      <c r="D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ht="12.75" customHeight="1">
      <c r="D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ht="12.75" customHeight="1">
      <c r="D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ht="12.75" customHeight="1">
      <c r="D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ht="12.75" customHeight="1">
      <c r="D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ht="12.75" customHeight="1">
      <c r="D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ht="12.75" customHeight="1">
      <c r="D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ht="12.75" customHeight="1">
      <c r="D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ht="12.75" customHeight="1">
      <c r="D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ht="12.75" customHeight="1">
      <c r="D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ht="12.75" customHeight="1">
      <c r="D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ht="12.75" customHeight="1">
      <c r="D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ht="12.75" customHeight="1">
      <c r="D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ht="12.75" customHeight="1">
      <c r="D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ht="12.75" customHeight="1">
      <c r="D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ht="12.75" customHeight="1">
      <c r="D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ht="12.75" customHeight="1">
      <c r="D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ht="12.75" customHeight="1">
      <c r="D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ht="12.75" customHeight="1">
      <c r="D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ht="12.75" customHeight="1">
      <c r="D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ht="12.75" customHeight="1">
      <c r="D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ht="12.75" customHeight="1">
      <c r="D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ht="12.75" customHeight="1">
      <c r="D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ht="12.75" customHeight="1">
      <c r="D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ht="12.75" customHeight="1">
      <c r="D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ht="12.75" customHeight="1">
      <c r="D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ht="12.75" customHeight="1">
      <c r="D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ht="12.75" customHeight="1">
      <c r="D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ht="12.75" customHeight="1">
      <c r="D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ht="12.75" customHeight="1">
      <c r="D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ht="12.75" customHeight="1">
      <c r="D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ht="12.75" customHeight="1">
      <c r="D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ht="12.75" customHeight="1">
      <c r="D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ht="12.75" customHeight="1">
      <c r="D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ht="12.75" customHeight="1">
      <c r="D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ht="12.75" customHeight="1">
      <c r="D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ht="12.75" customHeight="1">
      <c r="D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ht="12.75" customHeight="1">
      <c r="D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ht="12.75" customHeight="1">
      <c r="D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ht="12.75" customHeight="1">
      <c r="D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ht="12.75" customHeight="1">
      <c r="D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ht="12.75" customHeight="1">
      <c r="D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ht="12.75" customHeight="1">
      <c r="D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ht="12.75" customHeight="1">
      <c r="D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ht="12.75" customHeight="1">
      <c r="D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ht="12.75" customHeight="1">
      <c r="D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ht="12.75" customHeight="1">
      <c r="D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ht="12.75" customHeight="1">
      <c r="D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ht="12.75" customHeight="1">
      <c r="D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ht="12.75" customHeight="1">
      <c r="D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ht="12.75" customHeight="1">
      <c r="D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ht="12.75" customHeight="1">
      <c r="D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ht="12.75" customHeight="1">
      <c r="D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ht="12.75" customHeight="1">
      <c r="D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ht="12.75" customHeight="1">
      <c r="D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ht="12.75" customHeight="1">
      <c r="D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ht="12.75" customHeight="1">
      <c r="D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ht="12.75" customHeight="1">
      <c r="D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ht="12.75" customHeight="1">
      <c r="D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ht="12.75" customHeight="1">
      <c r="D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ht="12.75" customHeight="1">
      <c r="D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ht="12.75" customHeight="1">
      <c r="D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ht="12.75" customHeight="1">
      <c r="D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ht="12.75" customHeight="1">
      <c r="D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ht="12.75" customHeight="1">
      <c r="D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ht="12.75" customHeight="1">
      <c r="D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ht="12.75" customHeight="1">
      <c r="D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ht="12.75" customHeight="1">
      <c r="D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ht="12.75" customHeight="1">
      <c r="D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ht="12.75" customHeight="1">
      <c r="D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ht="12.75" customHeight="1">
      <c r="D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ht="12.75" customHeight="1">
      <c r="D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ht="12.75" customHeight="1">
      <c r="D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ht="12.75" customHeight="1">
      <c r="D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ht="12.75" customHeight="1">
      <c r="D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ht="12.75" customHeight="1">
      <c r="D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ht="12.75" customHeight="1">
      <c r="D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ht="12.75" customHeight="1">
      <c r="D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ht="12.75" customHeight="1">
      <c r="D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ht="12.75" customHeight="1">
      <c r="D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ht="12.75" customHeight="1">
      <c r="D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ht="12.75" customHeight="1">
      <c r="D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ht="12.75" customHeight="1">
      <c r="D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ht="12.75" customHeight="1">
      <c r="D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ht="12.75" customHeight="1">
      <c r="D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ht="12.75" customHeight="1">
      <c r="D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ht="12.75" customHeight="1">
      <c r="D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ht="12.75" customHeight="1">
      <c r="D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ht="12.75" customHeight="1">
      <c r="D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ht="12.75" customHeight="1">
      <c r="D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ht="12.75" customHeight="1">
      <c r="D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ht="12.75" customHeight="1">
      <c r="D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ht="12.75" customHeight="1">
      <c r="D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ht="12.75" customHeight="1">
      <c r="D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ht="12.75" customHeight="1">
      <c r="D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ht="12.75" customHeight="1">
      <c r="D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ht="12.75" customHeight="1">
      <c r="D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ht="12.75" customHeight="1">
      <c r="D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ht="12.75" customHeight="1">
      <c r="D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ht="12.75" customHeight="1">
      <c r="D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ht="12.75" customHeight="1">
      <c r="D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ht="12.75" customHeight="1">
      <c r="D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ht="12.75" customHeight="1">
      <c r="D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ht="12.75" customHeight="1">
      <c r="D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ht="12.75" customHeight="1">
      <c r="D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ht="12.75" customHeight="1">
      <c r="D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ht="12.75" customHeight="1">
      <c r="D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ht="12.75" customHeight="1">
      <c r="D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ht="12.75" customHeight="1">
      <c r="D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ht="12.75" customHeight="1">
      <c r="D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ht="12.75" customHeight="1">
      <c r="D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ht="12.75" customHeight="1">
      <c r="D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ht="12.75" customHeight="1">
      <c r="D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ht="12.75" customHeight="1">
      <c r="D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ht="12.75" customHeight="1">
      <c r="D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ht="12.75" customHeight="1">
      <c r="D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ht="12.75" customHeight="1">
      <c r="D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ht="12.75" customHeight="1">
      <c r="D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ht="12.75" customHeight="1">
      <c r="D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ht="12.75" customHeight="1">
      <c r="D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ht="12.75" customHeight="1">
      <c r="D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ht="12.75" customHeight="1">
      <c r="D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ht="12.75" customHeight="1">
      <c r="D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ht="12.75" customHeight="1">
      <c r="D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ht="12.75" customHeight="1">
      <c r="D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ht="12.75" customHeight="1">
      <c r="D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ht="12.75" customHeight="1">
      <c r="D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ht="12.75" customHeight="1">
      <c r="D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ht="12.75" customHeight="1">
      <c r="D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ht="12.75" customHeight="1">
      <c r="D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ht="12.75" customHeight="1">
      <c r="D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ht="12.75" customHeight="1">
      <c r="D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ht="12.75" customHeight="1">
      <c r="D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ht="12.75" customHeight="1">
      <c r="D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ht="12.75" customHeight="1">
      <c r="D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ht="12.75" customHeight="1">
      <c r="D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ht="12.75" customHeight="1">
      <c r="D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ht="12.75" customHeight="1">
      <c r="D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ht="12.75" customHeight="1">
      <c r="D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ht="12.75" customHeight="1">
      <c r="D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ht="12.75" customHeight="1">
      <c r="D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ht="12.75" customHeight="1">
      <c r="D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ht="12.75" customHeight="1">
      <c r="D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ht="12.75" customHeight="1">
      <c r="D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ht="12.75" customHeight="1">
      <c r="D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ht="12.75" customHeight="1">
      <c r="D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ht="12.75" customHeight="1">
      <c r="D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ht="12.75" customHeight="1">
      <c r="D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ht="12.75" customHeight="1">
      <c r="D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ht="12.75" customHeight="1">
      <c r="D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ht="12.75" customHeight="1">
      <c r="D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ht="12.75" customHeight="1">
      <c r="D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ht="12.75" customHeight="1">
      <c r="D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ht="12.75" customHeight="1">
      <c r="D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ht="12.75" customHeight="1">
      <c r="D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ht="12.75" customHeight="1">
      <c r="D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ht="12.75" customHeight="1">
      <c r="D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ht="12.75" customHeight="1">
      <c r="D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ht="12.75" customHeight="1">
      <c r="D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ht="12.75" customHeight="1">
      <c r="D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ht="12.75" customHeight="1">
      <c r="D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ht="12.75" customHeight="1">
      <c r="D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ht="12.75" customHeight="1">
      <c r="D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ht="12.75" customHeight="1">
      <c r="D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ht="12.75" customHeight="1">
      <c r="D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ht="12.75" customHeight="1">
      <c r="D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ht="12.75" customHeight="1">
      <c r="D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ht="12.75" customHeight="1">
      <c r="D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ht="12.75" customHeight="1">
      <c r="D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ht="12.75" customHeight="1">
      <c r="D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ht="12.75" customHeight="1">
      <c r="D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ht="12.75" customHeight="1">
      <c r="D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ht="12.75" customHeight="1">
      <c r="D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ht="12.75" customHeight="1">
      <c r="D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ht="12.75" customHeight="1">
      <c r="D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ht="12.75" customHeight="1">
      <c r="D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ht="12.75" customHeight="1">
      <c r="D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ht="12.75" customHeight="1">
      <c r="D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ht="12.75" customHeight="1">
      <c r="D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ht="12.75" customHeight="1">
      <c r="D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ht="12.75" customHeight="1">
      <c r="D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ht="12.75" customHeight="1">
      <c r="D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ht="12.75" customHeight="1">
      <c r="D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ht="12.75" customHeight="1">
      <c r="D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ht="12.75" customHeight="1">
      <c r="D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ht="12.75" customHeight="1">
      <c r="D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ht="12.75" customHeight="1">
      <c r="D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ht="12.75" customHeight="1">
      <c r="D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ht="12.75" customHeight="1">
      <c r="D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ht="12.75" customHeight="1">
      <c r="D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ht="12.75" customHeight="1">
      <c r="D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ht="12.75" customHeight="1">
      <c r="D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ht="12.75" customHeight="1">
      <c r="D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ht="12.75" customHeight="1">
      <c r="D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ht="12.75" customHeight="1">
      <c r="D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ht="12.75" customHeight="1">
      <c r="D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ht="12.75" customHeight="1">
      <c r="D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ht="12.75" customHeight="1">
      <c r="D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ht="12.75" customHeight="1">
      <c r="D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ht="12.75" customHeight="1">
      <c r="D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ht="12.75" customHeight="1">
      <c r="D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ht="12.75" customHeight="1">
      <c r="D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ht="12.75" customHeight="1">
      <c r="D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ht="12.75" customHeight="1">
      <c r="D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ht="12.75" customHeight="1">
      <c r="D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ht="12.75" customHeight="1">
      <c r="D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ht="12.75" customHeight="1">
      <c r="D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ht="12.75" customHeight="1">
      <c r="D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ht="12.75" customHeight="1">
      <c r="D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ht="12.75" customHeight="1">
      <c r="D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ht="12.75" customHeight="1">
      <c r="D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ht="12.75" customHeight="1">
      <c r="D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ht="12.75" customHeight="1">
      <c r="D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ht="12.75" customHeight="1">
      <c r="D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ht="12.75" customHeight="1">
      <c r="D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ht="12.75" customHeight="1">
      <c r="D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ht="12.75" customHeight="1">
      <c r="D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ht="12.75" customHeight="1">
      <c r="D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ht="12.75" customHeight="1">
      <c r="D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ht="12.75" customHeight="1">
      <c r="D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ht="12.75" customHeight="1">
      <c r="D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ht="12.75" customHeight="1">
      <c r="D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ht="12.75" customHeight="1">
      <c r="D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ht="12.75" customHeight="1">
      <c r="D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ht="12.75" customHeight="1">
      <c r="D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ht="12.75" customHeight="1">
      <c r="D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ht="12.75" customHeight="1">
      <c r="D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ht="12.75" customHeight="1">
      <c r="D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ht="12.75" customHeight="1">
      <c r="D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ht="12.75" customHeight="1">
      <c r="D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ht="12.75" customHeight="1">
      <c r="D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ht="12.75" customHeight="1">
      <c r="D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ht="12.75" customHeight="1">
      <c r="D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ht="12.75" customHeight="1">
      <c r="D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ht="12.75" customHeight="1">
      <c r="D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ht="12.75" customHeight="1">
      <c r="D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ht="12.75" customHeight="1">
      <c r="D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ht="12.75" customHeight="1">
      <c r="D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ht="12.75" customHeight="1">
      <c r="D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ht="12.75" customHeight="1">
      <c r="D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ht="12.75" customHeight="1">
      <c r="D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ht="12.75" customHeight="1">
      <c r="D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ht="12.75" customHeight="1">
      <c r="D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ht="12.75" customHeight="1">
      <c r="D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ht="12.75" customHeight="1">
      <c r="D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ht="12.75" customHeight="1">
      <c r="D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ht="12.75" customHeight="1">
      <c r="D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ht="12.75" customHeight="1">
      <c r="D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ht="12.75" customHeight="1">
      <c r="D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ht="12.75" customHeight="1">
      <c r="D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ht="12.75" customHeight="1">
      <c r="D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ht="12.75" customHeight="1">
      <c r="D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ht="12.75" customHeight="1">
      <c r="D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ht="12.75" customHeight="1">
      <c r="D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ht="12.75" customHeight="1">
      <c r="D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ht="12.75" customHeight="1">
      <c r="D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ht="12.75" customHeight="1">
      <c r="D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ht="12.75" customHeight="1">
      <c r="D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ht="12.75" customHeight="1">
      <c r="D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ht="12.75" customHeight="1">
      <c r="D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ht="12.75" customHeight="1">
      <c r="D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ht="12.75" customHeight="1">
      <c r="D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ht="12.75" customHeight="1">
      <c r="D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ht="12.75" customHeight="1">
      <c r="D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ht="12.75" customHeight="1">
      <c r="D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ht="12.75" customHeight="1">
      <c r="D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ht="12.75" customHeight="1">
      <c r="D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ht="12.75" customHeight="1">
      <c r="D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ht="12.75" customHeight="1">
      <c r="D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ht="12.75" customHeight="1">
      <c r="D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ht="12.75" customHeight="1">
      <c r="D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ht="12.75" customHeight="1">
      <c r="D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ht="12.75" customHeight="1">
      <c r="D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ht="12.75" customHeight="1">
      <c r="D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ht="12.75" customHeight="1">
      <c r="D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ht="12.75" customHeight="1">
      <c r="D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ht="12.75" customHeight="1">
      <c r="D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ht="12.75" customHeight="1">
      <c r="D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ht="12.75" customHeight="1">
      <c r="D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ht="12.75" customHeight="1">
      <c r="D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ht="12.75" customHeight="1">
      <c r="D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ht="12.75" customHeight="1">
      <c r="D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ht="12.75" customHeight="1">
      <c r="D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ht="12.75" customHeight="1">
      <c r="D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ht="12.75" customHeight="1">
      <c r="D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ht="12.75" customHeight="1">
      <c r="D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ht="12.75" customHeight="1">
      <c r="D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ht="12.75" customHeight="1">
      <c r="D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ht="12.75" customHeight="1">
      <c r="D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ht="12.75" customHeight="1">
      <c r="D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ht="12.75" customHeight="1">
      <c r="D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ht="12.75" customHeight="1">
      <c r="D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ht="12.75" customHeight="1">
      <c r="D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ht="12.75" customHeight="1">
      <c r="D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ht="12.75" customHeight="1">
      <c r="D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ht="12.75" customHeight="1">
      <c r="D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ht="12.75" customHeight="1">
      <c r="D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ht="12.75" customHeight="1">
      <c r="D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ht="12.75" customHeight="1">
      <c r="D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ht="12.75" customHeight="1">
      <c r="D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ht="12.75" customHeight="1">
      <c r="D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ht="12.75" customHeight="1">
      <c r="D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ht="12.75" customHeight="1">
      <c r="D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ht="12.75" customHeight="1">
      <c r="D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ht="12.75" customHeight="1">
      <c r="D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ht="12.75" customHeight="1">
      <c r="D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ht="12.75" customHeight="1">
      <c r="D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ht="12.75" customHeight="1">
      <c r="D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ht="12.75" customHeight="1">
      <c r="D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ht="12.75" customHeight="1">
      <c r="D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ht="12.75" customHeight="1">
      <c r="D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ht="12.75" customHeight="1">
      <c r="D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ht="12.75" customHeight="1">
      <c r="D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ht="12.75" customHeight="1">
      <c r="D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ht="12.75" customHeight="1">
      <c r="D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ht="12.75" customHeight="1">
      <c r="D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ht="12.75" customHeight="1">
      <c r="D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ht="12.75" customHeight="1">
      <c r="D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ht="12.75" customHeight="1">
      <c r="D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ht="12.75" customHeight="1">
      <c r="D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ht="12.75" customHeight="1">
      <c r="D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ht="12.75" customHeight="1">
      <c r="D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ht="12.75" customHeight="1">
      <c r="D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ht="12.75" customHeight="1">
      <c r="D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ht="12.75" customHeight="1">
      <c r="D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ht="12.75" customHeight="1">
      <c r="D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ht="12.75" customHeight="1">
      <c r="D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ht="12.75" customHeight="1">
      <c r="D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ht="12.75" customHeight="1">
      <c r="D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ht="12.75" customHeight="1">
      <c r="D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ht="12.75" customHeight="1">
      <c r="D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ht="12.75" customHeight="1">
      <c r="D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ht="12.75" customHeight="1">
      <c r="D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ht="12.75" customHeight="1">
      <c r="D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ht="12.75" customHeight="1">
      <c r="D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ht="12.75" customHeight="1">
      <c r="D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ht="12.75" customHeight="1">
      <c r="D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ht="12.75" customHeight="1">
      <c r="D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ht="12.75" customHeight="1">
      <c r="D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ht="12.75" customHeight="1">
      <c r="D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ht="12.75" customHeight="1">
      <c r="D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ht="12.75" customHeight="1">
      <c r="D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ht="12.75" customHeight="1">
      <c r="D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ht="12.75" customHeight="1">
      <c r="D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ht="12.75" customHeight="1">
      <c r="D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ht="12.75" customHeight="1">
      <c r="D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ht="12.75" customHeight="1">
      <c r="D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ht="12.75" customHeight="1">
      <c r="D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ht="12.75" customHeight="1">
      <c r="D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ht="12.75" customHeight="1">
      <c r="D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ht="12.75" customHeight="1">
      <c r="D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ht="12.75" customHeight="1">
      <c r="D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ht="12.75" customHeight="1">
      <c r="D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ht="12.75" customHeight="1">
      <c r="D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ht="12.75" customHeight="1">
      <c r="D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ht="12.75" customHeight="1">
      <c r="D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ht="12.75" customHeight="1">
      <c r="D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ht="12.75" customHeight="1">
      <c r="D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ht="12.75" customHeight="1">
      <c r="D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ht="12.75" customHeight="1">
      <c r="D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ht="12.75" customHeight="1">
      <c r="D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ht="12.75" customHeight="1">
      <c r="D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ht="12.75" customHeight="1">
      <c r="D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ht="12.75" customHeight="1">
      <c r="D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ht="12.75" customHeight="1">
      <c r="D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ht="12.75" customHeight="1">
      <c r="D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ht="12.75" customHeight="1">
      <c r="D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ht="12.75" customHeight="1">
      <c r="D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ht="12.75" customHeight="1">
      <c r="D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ht="12.75" customHeight="1">
      <c r="D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ht="12.75" customHeight="1">
      <c r="D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ht="12.75" customHeight="1">
      <c r="D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ht="12.75" customHeight="1">
      <c r="D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ht="12.75" customHeight="1">
      <c r="D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ht="12.75" customHeight="1">
      <c r="D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ht="12.75" customHeight="1">
      <c r="D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ht="12.75" customHeight="1">
      <c r="D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ht="12.75" customHeight="1">
      <c r="D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ht="12.75" customHeight="1">
      <c r="D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ht="12.75" customHeight="1">
      <c r="D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ht="12.75" customHeight="1">
      <c r="D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ht="12.75" customHeight="1">
      <c r="D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ht="12.75" customHeight="1">
      <c r="D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ht="12.75" customHeight="1">
      <c r="D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ht="12.75" customHeight="1">
      <c r="D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ht="12.75" customHeight="1">
      <c r="D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ht="12.75" customHeight="1">
      <c r="D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ht="12.75" customHeight="1">
      <c r="D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ht="12.75" customHeight="1">
      <c r="D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ht="12.75" customHeight="1">
      <c r="D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ht="12.75" customHeight="1">
      <c r="D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ht="12.75" customHeight="1">
      <c r="D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ht="12.75" customHeight="1">
      <c r="D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ht="12.75" customHeight="1">
      <c r="D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ht="12.75" customHeight="1">
      <c r="D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ht="12.75" customHeight="1">
      <c r="D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ht="12.75" customHeight="1">
      <c r="D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ht="12.75" customHeight="1">
      <c r="D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ht="12.75" customHeight="1">
      <c r="D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ht="12.75" customHeight="1">
      <c r="D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ht="12.75" customHeight="1">
      <c r="D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ht="12.75" customHeight="1">
      <c r="D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ht="12.75" customHeight="1">
      <c r="D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ht="12.75" customHeight="1">
      <c r="D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ht="12.75" customHeight="1">
      <c r="D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ht="12.75" customHeight="1">
      <c r="D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ht="12.75" customHeight="1">
      <c r="D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ht="12.75" customHeight="1">
      <c r="D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ht="12.75" customHeight="1">
      <c r="D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ht="12.75" customHeight="1">
      <c r="D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ht="12.75" customHeight="1">
      <c r="D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ht="12.75" customHeight="1">
      <c r="D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ht="12.75" customHeight="1">
      <c r="D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ht="12.75" customHeight="1">
      <c r="D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ht="12.75" customHeight="1">
      <c r="D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ht="12.75" customHeight="1">
      <c r="D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ht="12.75" customHeight="1">
      <c r="D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ht="12.75" customHeight="1">
      <c r="D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ht="12.75" customHeight="1">
      <c r="D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ht="12.75" customHeight="1">
      <c r="D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ht="12.75" customHeight="1">
      <c r="D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ht="12.75" customHeight="1">
      <c r="D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ht="12.75" customHeight="1">
      <c r="D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ht="12.75" customHeight="1">
      <c r="D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ht="12.75" customHeight="1">
      <c r="D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ht="12.75" customHeight="1">
      <c r="D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ht="12.75" customHeight="1">
      <c r="D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ht="12.75" customHeight="1">
      <c r="D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ht="12.75" customHeight="1">
      <c r="D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ht="12.75" customHeight="1">
      <c r="D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ht="12.75" customHeight="1">
      <c r="D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ht="12.75" customHeight="1">
      <c r="D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ht="12.75" customHeight="1">
      <c r="D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ht="12.75" customHeight="1">
      <c r="D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ht="12.75" customHeight="1">
      <c r="D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ht="12.75" customHeight="1">
      <c r="D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ht="12.75" customHeight="1">
      <c r="D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ht="12.75" customHeight="1">
      <c r="D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ht="12.75" customHeight="1">
      <c r="D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ht="12.75" customHeight="1">
      <c r="D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ht="12.75" customHeight="1">
      <c r="D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ht="12.75" customHeight="1">
      <c r="D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ht="12.75" customHeight="1">
      <c r="D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ht="12.75" customHeight="1">
      <c r="D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ht="12.75" customHeight="1">
      <c r="D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ht="12.75" customHeight="1">
      <c r="D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ht="12.75" customHeight="1">
      <c r="D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ht="12.75" customHeight="1">
      <c r="D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ht="12.75" customHeight="1">
      <c r="D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ht="12.75" customHeight="1">
      <c r="D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ht="12.75" customHeight="1">
      <c r="D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ht="12.75" customHeight="1">
      <c r="D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ht="12.75" customHeight="1">
      <c r="D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ht="12.75" customHeight="1">
      <c r="D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ht="12.75" customHeight="1">
      <c r="D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ht="12.75" customHeight="1">
      <c r="D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ht="12.75" customHeight="1">
      <c r="D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ht="12.75" customHeight="1">
      <c r="D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ht="12.75" customHeight="1">
      <c r="D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ht="12.75" customHeight="1">
      <c r="D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ht="12.75" customHeight="1">
      <c r="D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ht="12.75" customHeight="1">
      <c r="D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ht="12.75" customHeight="1">
      <c r="D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ht="12.75" customHeight="1">
      <c r="D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ht="12.75" customHeight="1">
      <c r="D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ht="12.75" customHeight="1">
      <c r="D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ht="12.75" customHeight="1">
      <c r="D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ht="12.75" customHeight="1">
      <c r="D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ht="12.75" customHeight="1">
      <c r="D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ht="12.75" customHeight="1">
      <c r="D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ht="12.75" customHeight="1">
      <c r="D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ht="12.75" customHeight="1">
      <c r="D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ht="12.75" customHeight="1">
      <c r="D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ht="12.75" customHeight="1">
      <c r="D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ht="12.75" customHeight="1">
      <c r="D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ht="12.75" customHeight="1">
      <c r="D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ht="12.75" customHeight="1">
      <c r="D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ht="12.75" customHeight="1">
      <c r="D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ht="12.75" customHeight="1">
      <c r="D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ht="12.75" customHeight="1">
      <c r="D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ht="12.75" customHeight="1">
      <c r="D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ht="12.75" customHeight="1">
      <c r="D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ht="12.75" customHeight="1">
      <c r="D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ht="12.75" customHeight="1">
      <c r="D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ht="12.75" customHeight="1">
      <c r="D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ht="12.75" customHeight="1">
      <c r="D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ht="12.75" customHeight="1">
      <c r="D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ht="12.75" customHeight="1">
      <c r="D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ht="12.75" customHeight="1">
      <c r="D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ht="12.75" customHeight="1">
      <c r="D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ht="12.75" customHeight="1">
      <c r="D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ht="12.75" customHeight="1">
      <c r="D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ht="12.75" customHeight="1">
      <c r="D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ht="12.75" customHeight="1">
      <c r="D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ht="12.75" customHeight="1">
      <c r="D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ht="12.75" customHeight="1">
      <c r="D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ht="12.75" customHeight="1">
      <c r="D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ht="12.75" customHeight="1">
      <c r="D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ht="12.75" customHeight="1">
      <c r="D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ht="12.75" customHeight="1">
      <c r="D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ht="12.75" customHeight="1">
      <c r="D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ht="12.75" customHeight="1">
      <c r="D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ht="12.75" customHeight="1">
      <c r="D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ht="12.75" customHeight="1">
      <c r="D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ht="12.75" customHeight="1">
      <c r="D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ht="12.75" customHeight="1">
      <c r="D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ht="12.75" customHeight="1">
      <c r="D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ht="12.75" customHeight="1">
      <c r="D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ht="12.75" customHeight="1">
      <c r="D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ht="12.75" customHeight="1">
      <c r="D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ht="12.75" customHeight="1">
      <c r="D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ht="12.75" customHeight="1">
      <c r="D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ht="12.75" customHeight="1">
      <c r="D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ht="12.75" customHeight="1">
      <c r="D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ht="12.75" customHeight="1">
      <c r="D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ht="12.75" customHeight="1">
      <c r="D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ht="12.75" customHeight="1">
      <c r="D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ht="12.75" customHeight="1">
      <c r="D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ht="12.75" customHeight="1">
      <c r="D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ht="12.75" customHeight="1">
      <c r="D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ht="12.75" customHeight="1">
      <c r="D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ht="12.75" customHeight="1">
      <c r="D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ht="12.75" customHeight="1">
      <c r="D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ht="12.75" customHeight="1">
      <c r="D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ht="12.75" customHeight="1">
      <c r="D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ht="12.75" customHeight="1">
      <c r="D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ht="12.75" customHeight="1">
      <c r="D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ht="12.75" customHeight="1">
      <c r="D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ht="12.75" customHeight="1">
      <c r="D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ht="12.75" customHeight="1">
      <c r="D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ht="12.75" customHeight="1">
      <c r="D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ht="12.75" customHeight="1">
      <c r="D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ht="12.75" customHeight="1">
      <c r="D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ht="12.75" customHeight="1">
      <c r="D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ht="12.75" customHeight="1">
      <c r="D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ht="12.75" customHeight="1">
      <c r="D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ht="12.75" customHeight="1">
      <c r="D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ht="12.75" customHeight="1">
      <c r="D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ht="12.75" customHeight="1">
      <c r="D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ht="12.75" customHeight="1">
      <c r="D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ht="12.75" customHeight="1">
      <c r="D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ht="12.75" customHeight="1">
      <c r="D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ht="12.75" customHeight="1">
      <c r="D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ht="12.75" customHeight="1">
      <c r="D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ht="12.75" customHeight="1">
      <c r="D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ht="12.75" customHeight="1">
      <c r="D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ht="12.75" customHeight="1">
      <c r="D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ht="12.75" customHeight="1">
      <c r="D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ht="12.75" customHeight="1">
      <c r="D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ht="12.75" customHeight="1">
      <c r="D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ht="12.75" customHeight="1">
      <c r="D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ht="12.75" customHeight="1">
      <c r="D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ht="12.75" customHeight="1">
      <c r="D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ht="12.75" customHeight="1">
      <c r="D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ht="12.75" customHeight="1">
      <c r="D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ht="12.75" customHeight="1">
      <c r="D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ht="12.75" customHeight="1">
      <c r="D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ht="12.75" customHeight="1">
      <c r="D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ht="12.75" customHeight="1">
      <c r="D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ht="12.75" customHeight="1">
      <c r="D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ht="12.75" customHeight="1">
      <c r="D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ht="12.75" customHeight="1">
      <c r="D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ht="12.75" customHeight="1">
      <c r="D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ht="12.75" customHeight="1">
      <c r="D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ht="12.75" customHeight="1">
      <c r="D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ht="12.75" customHeight="1">
      <c r="D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ht="12.75" customHeight="1">
      <c r="D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ht="12.75" customHeight="1">
      <c r="D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ht="12.75" customHeight="1">
      <c r="D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ht="12.75" customHeight="1">
      <c r="D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ht="12.75" customHeight="1">
      <c r="D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ht="12.75" customHeight="1">
      <c r="D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ht="12.75" customHeight="1">
      <c r="D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ht="12.75" customHeight="1">
      <c r="D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ht="12.75" customHeight="1">
      <c r="D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ht="12.75" customHeight="1">
      <c r="D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ht="12.75" customHeight="1">
      <c r="D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ht="12.75" customHeight="1">
      <c r="D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ht="12.75" customHeight="1">
      <c r="D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ht="12.75" customHeight="1">
      <c r="D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ht="12.75" customHeight="1">
      <c r="D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ht="12.75" customHeight="1">
      <c r="D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ht="12.75" customHeight="1">
      <c r="D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ht="12.75" customHeight="1">
      <c r="D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ht="12.75" customHeight="1">
      <c r="D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ht="12.75" customHeight="1">
      <c r="D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ht="12.75" customHeight="1">
      <c r="D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ht="12.75" customHeight="1">
      <c r="D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ht="12.75" customHeight="1">
      <c r="D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ht="12.75" customHeight="1">
      <c r="D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ht="12.75" customHeight="1">
      <c r="D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ht="12.75" customHeight="1">
      <c r="D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ht="12.75" customHeight="1">
      <c r="D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ht="12.75" customHeight="1">
      <c r="D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ht="12.75" customHeight="1">
      <c r="D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ht="12.75" customHeight="1">
      <c r="D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ht="12.75" customHeight="1">
      <c r="D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ht="12.75" customHeight="1">
      <c r="D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ht="12.75" customHeight="1">
      <c r="D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ht="12.75" customHeight="1">
      <c r="D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ht="12.75" customHeight="1">
      <c r="D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ht="12.75" customHeight="1">
      <c r="D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ht="12.75" customHeight="1">
      <c r="D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ht="12.75" customHeight="1">
      <c r="D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ht="12.75" customHeight="1">
      <c r="D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ht="12.75" customHeight="1">
      <c r="D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ht="12.75" customHeight="1">
      <c r="D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ht="12.75" customHeight="1">
      <c r="D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ht="12.75" customHeight="1">
      <c r="D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ht="12.75" customHeight="1">
      <c r="D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ht="12.75" customHeight="1">
      <c r="D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ht="12.75" customHeight="1">
      <c r="D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ht="12.75" customHeight="1">
      <c r="D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ht="12.75" customHeight="1">
      <c r="D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ht="12.75" customHeight="1">
      <c r="D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ht="12.75" customHeight="1">
      <c r="D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ht="12.75" customHeight="1">
      <c r="D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ht="12.75" customHeight="1">
      <c r="D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ht="12.75" customHeight="1">
      <c r="D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ht="12.75" customHeight="1">
      <c r="D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ht="12.75" customHeight="1">
      <c r="D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ht="12.75" customHeight="1">
      <c r="D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ht="12.75" customHeight="1">
      <c r="D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ht="12.75" customHeight="1">
      <c r="D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ht="12.75" customHeight="1">
      <c r="D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ht="12.75" customHeight="1">
      <c r="D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ht="12.75" customHeight="1">
      <c r="D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ht="12.75" customHeight="1">
      <c r="D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ht="12.75" customHeight="1">
      <c r="D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ht="12.75" customHeight="1">
      <c r="D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ht="12.75" customHeight="1">
      <c r="D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ht="12.75" customHeight="1">
      <c r="D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ht="12.75" customHeight="1">
      <c r="D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ht="12.75" customHeight="1">
      <c r="D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ht="12.75" customHeight="1">
      <c r="D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ht="12.75" customHeight="1">
      <c r="D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ht="12.75" customHeight="1">
      <c r="D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ht="12.75" customHeight="1">
      <c r="D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ht="12.75" customHeight="1">
      <c r="D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ht="12.75" customHeight="1">
      <c r="D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ht="12.75" customHeight="1">
      <c r="D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ht="12.75" customHeight="1">
      <c r="D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ht="12.75" customHeight="1">
      <c r="D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ht="12.75" customHeight="1">
      <c r="D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ht="12.75" customHeight="1">
      <c r="D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ht="12.75" customHeight="1">
      <c r="D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ht="12.75" customHeight="1">
      <c r="D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ht="12.75" customHeight="1">
      <c r="D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ht="12.75" customHeight="1">
      <c r="D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ht="12.75" customHeight="1">
      <c r="D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ht="12.75" customHeight="1">
      <c r="D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ht="12.75" customHeight="1">
      <c r="D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ht="12.75" customHeight="1">
      <c r="D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ht="12.75" customHeight="1">
      <c r="D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ht="12.75" customHeight="1">
      <c r="D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ht="12.75" customHeight="1">
      <c r="D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ht="12.75" customHeight="1">
      <c r="D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ht="12.75" customHeight="1">
      <c r="D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ht="12.75" customHeight="1">
      <c r="D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ht="12.75" customHeight="1">
      <c r="D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ht="12.75" customHeight="1">
      <c r="D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ht="12.75" customHeight="1">
      <c r="D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ht="12.75" customHeight="1">
      <c r="D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ht="12.75" customHeight="1">
      <c r="D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ht="12.75" customHeight="1">
      <c r="D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ht="12.75" customHeight="1">
      <c r="D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ht="12.75" customHeight="1">
      <c r="D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ht="12.75" customHeight="1">
      <c r="D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ht="12.75" customHeight="1">
      <c r="D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ht="12.75" customHeight="1">
      <c r="D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ht="12.75" customHeight="1">
      <c r="D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ht="12.75" customHeight="1">
      <c r="D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ht="12.75" customHeight="1">
      <c r="D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ht="12.75" customHeight="1">
      <c r="D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ht="12.75" customHeight="1">
      <c r="D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ht="12.75" customHeight="1">
      <c r="D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ht="12.75" customHeight="1">
      <c r="D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ht="12.75" customHeight="1">
      <c r="D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ht="12.75" customHeight="1">
      <c r="D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ht="12.75" customHeight="1">
      <c r="D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ht="12.75" customHeight="1">
      <c r="D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ht="12.75" customHeight="1">
      <c r="D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ht="12.75" customHeight="1">
      <c r="D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ht="12.75" customHeight="1">
      <c r="D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ht="12.75" customHeight="1">
      <c r="D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ht="12.75" customHeight="1">
      <c r="D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ht="12.75" customHeight="1">
      <c r="D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ht="12.75" customHeight="1">
      <c r="D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ht="12.75" customHeight="1">
      <c r="D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ht="12.75" customHeight="1">
      <c r="D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ht="12.75" customHeight="1">
      <c r="D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ht="12.75" customHeight="1">
      <c r="D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ht="12.75" customHeight="1">
      <c r="D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ht="12.75" customHeight="1">
      <c r="D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ht="12.75" customHeight="1">
      <c r="D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ht="12.75" customHeight="1">
      <c r="D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ht="12.75" customHeight="1">
      <c r="D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ht="12.75" customHeight="1">
      <c r="D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ht="12.75" customHeight="1">
      <c r="D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ht="12.75" customHeight="1">
      <c r="D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ht="12.75" customHeight="1">
      <c r="D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ht="12.75" customHeight="1">
      <c r="D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ht="12.75" customHeight="1">
      <c r="D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ht="12.75" customHeight="1">
      <c r="D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ht="12.75" customHeight="1">
      <c r="D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ht="12.75" customHeight="1">
      <c r="D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ht="12.75" customHeight="1">
      <c r="D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ht="12.75" customHeight="1">
      <c r="D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ht="12.75" customHeight="1">
      <c r="D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ht="12.75" customHeight="1">
      <c r="D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ht="12.75" customHeight="1">
      <c r="D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ht="12.75" customHeight="1">
      <c r="D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ht="12.75" customHeight="1">
      <c r="D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ht="12.75" customHeight="1">
      <c r="D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ht="12.75" customHeight="1">
      <c r="D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ht="12.75" customHeight="1">
      <c r="D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ht="12.75" customHeight="1">
      <c r="D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ht="12.75" customHeight="1">
      <c r="D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ht="12.75" customHeight="1">
      <c r="D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ht="12.75" customHeight="1">
      <c r="D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ht="12.75" customHeight="1">
      <c r="D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ht="12.75" customHeight="1">
      <c r="D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ht="12.75" customHeight="1">
      <c r="D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ht="12.75" customHeight="1">
      <c r="D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ht="12.75" customHeight="1">
      <c r="D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ht="12.75" customHeight="1">
      <c r="D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ht="12.75" customHeight="1">
      <c r="D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ht="12.75" customHeight="1">
      <c r="D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ht="12.75" customHeight="1">
      <c r="D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ht="12.75" customHeight="1">
      <c r="D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ht="12.75" customHeight="1">
      <c r="D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ht="12.75" customHeight="1">
      <c r="D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ht="12.75" customHeight="1">
      <c r="D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ht="12.75" customHeight="1">
      <c r="D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ht="12.75" customHeight="1">
      <c r="D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ht="12.75" customHeight="1">
      <c r="D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ht="12.75" customHeight="1">
      <c r="D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ht="12.75" customHeight="1">
      <c r="D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ht="12.75" customHeight="1">
      <c r="D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ht="12.75" customHeight="1">
      <c r="D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ht="12.75" customHeight="1">
      <c r="D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ht="12.75" customHeight="1">
      <c r="D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ht="12.75" customHeight="1">
      <c r="D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ht="12.75" customHeight="1">
      <c r="D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ht="12.75" customHeight="1">
      <c r="D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ht="12.75" customHeight="1">
      <c r="D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ht="12.75" customHeight="1">
      <c r="D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ht="12.75" customHeight="1">
      <c r="D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ht="12.75" customHeight="1">
      <c r="D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ht="12.75" customHeight="1">
      <c r="D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ht="12.75" customHeight="1">
      <c r="D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ht="12.75" customHeight="1">
      <c r="D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ht="12.75" customHeight="1">
      <c r="D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ht="12.75" customHeight="1">
      <c r="D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ht="12.75" customHeight="1">
      <c r="D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ht="12.75" customHeight="1">
      <c r="D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ht="12.75" customHeight="1">
      <c r="D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ht="12.75" customHeight="1">
      <c r="D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ht="12.75" customHeight="1">
      <c r="D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ht="12.75" customHeight="1">
      <c r="D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ht="12.75" customHeight="1">
      <c r="D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ht="12.75" customHeight="1">
      <c r="D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ht="12.75" customHeight="1">
      <c r="D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ht="12.75" customHeight="1">
      <c r="D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ht="12.75" customHeight="1">
      <c r="D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ht="12.75" customHeight="1">
      <c r="D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ht="12.75" customHeight="1">
      <c r="D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ht="12.75" customHeight="1">
      <c r="D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ht="12.75" customHeight="1">
      <c r="D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ht="12.75" customHeight="1">
      <c r="D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ht="12.75" customHeight="1">
      <c r="D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ht="12.75" customHeight="1">
      <c r="D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ht="12.75" customHeight="1">
      <c r="D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ht="12.75" customHeight="1">
      <c r="D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ht="12.75" customHeight="1">
      <c r="D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ht="12.75" customHeight="1">
      <c r="D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ht="12.75" customHeight="1">
      <c r="D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ht="12.75" customHeight="1">
      <c r="D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ht="12.75" customHeight="1">
      <c r="D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ht="12.75" customHeight="1">
      <c r="D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ht="12.75" customHeight="1">
      <c r="D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ht="12.75" customHeight="1">
      <c r="D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ht="12.75" customHeight="1">
      <c r="D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ht="12.75" customHeight="1">
      <c r="D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ht="12.75" customHeight="1">
      <c r="D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ht="12.75" customHeight="1">
      <c r="D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ht="12.75" customHeight="1">
      <c r="D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ht="12.75" customHeight="1">
      <c r="D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ht="12.75" customHeight="1">
      <c r="D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ht="12.75" customHeight="1">
      <c r="D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ht="12.75" customHeight="1">
      <c r="D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ht="12.75" customHeight="1">
      <c r="D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ht="12.75" customHeight="1">
      <c r="D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ht="12.75" customHeight="1">
      <c r="D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ht="12.75" customHeight="1">
      <c r="D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ht="12.75" customHeight="1">
      <c r="D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ht="12.75" customHeight="1">
      <c r="D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ht="12.75" customHeight="1">
      <c r="D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ht="12.75" customHeight="1">
      <c r="D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ht="12.75" customHeight="1">
      <c r="D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ht="12.75" customHeight="1">
      <c r="D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ht="12.75" customHeight="1">
      <c r="D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ht="12.75" customHeight="1">
      <c r="D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ht="12.75" customHeight="1">
      <c r="D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ht="12.75" customHeight="1">
      <c r="D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ht="12.75" customHeight="1">
      <c r="D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ht="12.75" customHeight="1">
      <c r="D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ht="12.75" customHeight="1">
      <c r="D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ht="12.75" customHeight="1">
      <c r="D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ht="12.75" customHeight="1">
      <c r="D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ht="12.75" customHeight="1">
      <c r="D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ht="12.75" customHeight="1">
      <c r="D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ht="12.75" customHeight="1">
      <c r="D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ht="12.75" customHeight="1">
      <c r="D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ht="12.75" customHeight="1">
      <c r="D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ht="12.75" customHeight="1">
      <c r="D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ht="12.75" customHeight="1">
      <c r="D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ht="12.75" customHeight="1">
      <c r="D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ht="12.75" customHeight="1">
      <c r="D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ht="12.75" customHeight="1">
      <c r="D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ht="12.75" customHeight="1">
      <c r="D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ht="12.75" customHeight="1">
      <c r="D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ht="12.75" customHeight="1">
      <c r="D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ht="12.75" customHeight="1">
      <c r="D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ht="12.75" customHeight="1">
      <c r="D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ht="12.75" customHeight="1">
      <c r="D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ht="12.75" customHeight="1">
      <c r="D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ht="12.75" customHeight="1">
      <c r="D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</sheetData>
  <mergeCells count="3">
    <mergeCell ref="D3:H3"/>
    <mergeCell ref="D4:H4"/>
    <mergeCell ref="D5:H5"/>
  </mergeCells>
  <conditionalFormatting sqref="C26:AF65 L22:AF25">
    <cfRule type="expression" dxfId="0" priority="1" stopIfTrue="1">
      <formula>$F22="Done"</formula>
    </cfRule>
  </conditionalFormatting>
  <conditionalFormatting sqref="C26:AF65 L22:AF25">
    <cfRule type="expression" dxfId="1" priority="2" stopIfTrue="1">
      <formula>$F22="Ongoing"</formula>
    </cfRule>
  </conditionalFormatting>
  <conditionalFormatting sqref="B22:AF65">
    <cfRule type="expression" dxfId="0" priority="3" stopIfTrue="1">
      <formula>$F22="Terminado"</formula>
    </cfRule>
  </conditionalFormatting>
  <conditionalFormatting sqref="B22:AF65">
    <cfRule type="expression" dxfId="1" priority="4" stopIfTrue="1">
      <formula>$F22="En Progreso"</formula>
    </cfRule>
  </conditionalFormatting>
  <dataValidations>
    <dataValidation type="list" allowBlank="1" sqref="F10:F15 F22:F71">
      <formula1>"Por Hacer,En Progreso,Terminado"</formula1>
    </dataValidation>
  </dataValidations>
  <printOptions/>
  <pageMargins bottom="1.0" footer="0.0" header="0.0" left="0.75" right="0.75" top="1.0"/>
  <pageSetup paperSize="9" orientation="portrait"/>
  <drawing r:id="rId4"/>
  <legacyDrawing r:id="rId5"/>
</worksheet>
</file>